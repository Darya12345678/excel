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/>
  <workbookPr/>
  <bookViews>
    <workbookView xWindow="0" yWindow="0" windowWidth="19420" windowHeight="11020" activeTab="3"/>
  </bookViews>
  <sheets>
    <sheet name="ТЗ" sheetId="3" r:id="rId1"/>
    <sheet name="выгрузка" sheetId="1" r:id="rId2"/>
    <sheet name="Продукт" sheetId="2" r:id="rId3"/>
    <sheet name="Дашборд" sheetId="4" r:id="rId4"/>
  </sheets>
  <definedNames>
    <definedName name="_xlnm._FilterDatabase" localSheetId="1" hidden="1">выгрузка!$A$1:$E$1</definedName>
  </definedNames>
  <calcPr calcId="124519" refMode="R1C1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1"/>
  <c r="H4"/>
  <c r="I16"/>
  <c r="H16"/>
  <c r="I15"/>
  <c r="H15"/>
  <c r="I13"/>
  <c r="H13"/>
  <c r="I12"/>
  <c r="H12"/>
  <c r="H11"/>
  <c r="I11"/>
  <c r="I10"/>
  <c r="H10"/>
  <c r="I9"/>
  <c r="H9"/>
  <c r="I8"/>
  <c r="H8"/>
  <c r="I6"/>
  <c r="H6"/>
  <c r="I2"/>
  <c r="H2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293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388"/>
  <c r="G389"/>
  <c r="G390"/>
  <c r="G391"/>
  <c r="G392"/>
  <c r="G393"/>
  <c r="G394"/>
  <c r="G395"/>
  <c r="G396"/>
  <c r="G397"/>
  <c r="G398"/>
  <c r="G399"/>
  <c r="G400"/>
  <c r="G401"/>
  <c r="G402"/>
  <c r="G403"/>
  <c r="G404"/>
  <c r="G405"/>
  <c r="G406"/>
  <c r="G407"/>
  <c r="G408"/>
  <c r="G409"/>
  <c r="G410"/>
  <c r="G411"/>
  <c r="G412"/>
  <c r="G413"/>
  <c r="G414"/>
  <c r="G415"/>
  <c r="G416"/>
  <c r="G417"/>
  <c r="G418"/>
  <c r="G419"/>
  <c r="G420"/>
  <c r="G421"/>
  <c r="G422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40"/>
  <c r="G441"/>
  <c r="G442"/>
  <c r="G443"/>
  <c r="G444"/>
  <c r="G445"/>
  <c r="G446"/>
  <c r="G447"/>
  <c r="G448"/>
  <c r="G449"/>
  <c r="G450"/>
  <c r="G451"/>
  <c r="G452"/>
  <c r="G453"/>
  <c r="G454"/>
  <c r="G455"/>
  <c r="G457"/>
  <c r="G458"/>
  <c r="G459"/>
  <c r="G460"/>
  <c r="G461"/>
  <c r="G462"/>
  <c r="G463"/>
  <c r="G464"/>
  <c r="G465"/>
  <c r="G466"/>
  <c r="G467"/>
  <c r="G468"/>
  <c r="G469"/>
  <c r="G470"/>
  <c r="G471"/>
  <c r="G472"/>
  <c r="G473"/>
  <c r="G474"/>
  <c r="G475"/>
  <c r="G476"/>
  <c r="G477"/>
  <c r="G478"/>
  <c r="G479"/>
  <c r="G480"/>
  <c r="G481"/>
  <c r="G482"/>
  <c r="G483"/>
  <c r="G484"/>
  <c r="G485"/>
  <c r="G486"/>
  <c r="G487"/>
  <c r="G488"/>
  <c r="G489"/>
  <c r="G490"/>
  <c r="G491"/>
  <c r="G492"/>
  <c r="G493"/>
  <c r="G494"/>
  <c r="G495"/>
  <c r="G496"/>
  <c r="G497"/>
  <c r="G498"/>
  <c r="G499"/>
  <c r="G500"/>
  <c r="G501"/>
  <c r="G502"/>
  <c r="G503"/>
  <c r="G504"/>
  <c r="G505"/>
  <c r="G506"/>
  <c r="G507"/>
  <c r="G508"/>
  <c r="G509"/>
  <c r="G510"/>
  <c r="G511"/>
  <c r="G512"/>
  <c r="G513"/>
  <c r="G514"/>
  <c r="G515"/>
  <c r="G516"/>
  <c r="G517"/>
  <c r="G518"/>
  <c r="G519"/>
  <c r="G520"/>
  <c r="G521"/>
  <c r="G522"/>
  <c r="G523"/>
  <c r="G524"/>
  <c r="G525"/>
  <c r="G526"/>
  <c r="G527"/>
  <c r="G528"/>
  <c r="G529"/>
  <c r="G530"/>
  <c r="G531"/>
  <c r="G532"/>
  <c r="G533"/>
  <c r="G534"/>
  <c r="G535"/>
  <c r="G536"/>
  <c r="G537"/>
  <c r="G538"/>
  <c r="G539"/>
  <c r="G540"/>
  <c r="G541"/>
  <c r="G542"/>
  <c r="G543"/>
  <c r="G544"/>
  <c r="G545"/>
  <c r="G546"/>
  <c r="G547"/>
  <c r="G548"/>
  <c r="G549"/>
  <c r="G550"/>
  <c r="G551"/>
  <c r="G552"/>
  <c r="G553"/>
  <c r="G554"/>
  <c r="G555"/>
  <c r="G556"/>
  <c r="G557"/>
  <c r="G558"/>
  <c r="G559"/>
  <c r="G560"/>
  <c r="G561"/>
  <c r="G562"/>
  <c r="G563"/>
  <c r="G564"/>
  <c r="G565"/>
  <c r="G566"/>
  <c r="G567"/>
  <c r="G568"/>
  <c r="G3"/>
  <c r="G4"/>
  <c r="G2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463"/>
  <c r="F464"/>
  <c r="F465"/>
  <c r="F466"/>
  <c r="F467"/>
  <c r="F468"/>
  <c r="F469"/>
  <c r="F470"/>
  <c r="F471"/>
  <c r="F472"/>
  <c r="F473"/>
  <c r="F474"/>
  <c r="F475"/>
  <c r="F476"/>
  <c r="F477"/>
  <c r="F478"/>
  <c r="F479"/>
  <c r="F480"/>
  <c r="F481"/>
  <c r="F482"/>
  <c r="F483"/>
  <c r="F484"/>
  <c r="F485"/>
  <c r="F486"/>
  <c r="F487"/>
  <c r="F488"/>
  <c r="F489"/>
  <c r="F490"/>
  <c r="F491"/>
  <c r="F492"/>
  <c r="F493"/>
  <c r="F494"/>
  <c r="F495"/>
  <c r="F496"/>
  <c r="F497"/>
  <c r="F498"/>
  <c r="F499"/>
  <c r="F500"/>
  <c r="F501"/>
  <c r="F502"/>
  <c r="F503"/>
  <c r="F504"/>
  <c r="F505"/>
  <c r="F506"/>
  <c r="F507"/>
  <c r="F508"/>
  <c r="F509"/>
  <c r="F510"/>
  <c r="F511"/>
  <c r="F512"/>
  <c r="F513"/>
  <c r="F514"/>
  <c r="F515"/>
  <c r="F516"/>
  <c r="F517"/>
  <c r="F518"/>
  <c r="F519"/>
  <c r="F520"/>
  <c r="F521"/>
  <c r="F522"/>
  <c r="F523"/>
  <c r="F524"/>
  <c r="F525"/>
  <c r="F526"/>
  <c r="F527"/>
  <c r="F528"/>
  <c r="F529"/>
  <c r="F530"/>
  <c r="F531"/>
  <c r="F532"/>
  <c r="F533"/>
  <c r="F534"/>
  <c r="F535"/>
  <c r="F536"/>
  <c r="F537"/>
  <c r="F538"/>
  <c r="F539"/>
  <c r="F540"/>
  <c r="F541"/>
  <c r="F542"/>
  <c r="F543"/>
  <c r="F544"/>
  <c r="F545"/>
  <c r="F546"/>
  <c r="F547"/>
  <c r="F548"/>
  <c r="F549"/>
  <c r="F550"/>
  <c r="F551"/>
  <c r="F552"/>
  <c r="F553"/>
  <c r="F554"/>
  <c r="F555"/>
  <c r="F556"/>
  <c r="F557"/>
  <c r="F558"/>
  <c r="F559"/>
  <c r="F560"/>
  <c r="F561"/>
  <c r="F562"/>
  <c r="F563"/>
  <c r="F564"/>
  <c r="F565"/>
  <c r="F566"/>
  <c r="F567"/>
  <c r="F568"/>
  <c r="F2"/>
</calcChain>
</file>

<file path=xl/sharedStrings.xml><?xml version="1.0" encoding="utf-8"?>
<sst xmlns="http://schemas.openxmlformats.org/spreadsheetml/2006/main" count="3444" uniqueCount="43">
  <si>
    <t>Стадия</t>
  </si>
  <si>
    <t>Тестовая версия</t>
  </si>
  <si>
    <t>Ожидание ОС</t>
  </si>
  <si>
    <t>Заказная разработка</t>
  </si>
  <si>
    <t>Направлен бриф/доп.доки</t>
  </si>
  <si>
    <t>Закрыто</t>
  </si>
  <si>
    <t>Преобразовано в сделку</t>
  </si>
  <si>
    <t>Используют бесплатную версию</t>
  </si>
  <si>
    <t>Ожидание ОС 2</t>
  </si>
  <si>
    <t>Дубль|ошибка</t>
  </si>
  <si>
    <t>Продажа по договору оферте</t>
  </si>
  <si>
    <t>Недозвон</t>
  </si>
  <si>
    <t>Типовой договор</t>
  </si>
  <si>
    <t>Ответственный</t>
  </si>
  <si>
    <t/>
  </si>
  <si>
    <t>Дата создания лида</t>
  </si>
  <si>
    <t>Источник лида</t>
  </si>
  <si>
    <t>Заявка с сайта</t>
  </si>
  <si>
    <t>SberCloud</t>
  </si>
  <si>
    <t>Продукт</t>
  </si>
  <si>
    <t>SaluteBot</t>
  </si>
  <si>
    <t>Jazz</t>
  </si>
  <si>
    <t>SaluteSpeech</t>
  </si>
  <si>
    <t>Дата для SLA</t>
  </si>
  <si>
    <t>Оператор 1</t>
  </si>
  <si>
    <t>Оператор 2</t>
  </si>
  <si>
    <t>Задание № 1</t>
  </si>
  <si>
    <t>1.1 В таблицу на листе "Выгрузка" необходимо подтянуть данные о продукте со страницы "Продукт"</t>
  </si>
  <si>
    <t>1.2 Расчитать SLA для каждого лида в минутах (SLA =Дата для SLA - Дата создания лида)</t>
  </si>
  <si>
    <t>Задание №2</t>
  </si>
  <si>
    <t>2.1 Визуализируй полученные данные из сделаного дашборда в PowerPoint</t>
  </si>
  <si>
    <t>2.2 Вставь скрины визуализации в PowerPoint на отдельный лист в этот файл</t>
  </si>
  <si>
    <t>1.3 Построить дашборд, который отражает качество работы операторов и позволяет сделать управленческие выводы</t>
  </si>
  <si>
    <t>1.4. Сделайте аналитические выводы для принятия решения по качеству работы операторов, учитывая, что цель по времени отработки лида не более часа</t>
  </si>
  <si>
    <t>SLA</t>
  </si>
  <si>
    <t>Количество лидов</t>
  </si>
  <si>
    <t>Количество успешных лидов</t>
  </si>
  <si>
    <t>Среднее SLA для Оператора 1</t>
  </si>
  <si>
    <t>Среднее SLA для Оператора 2</t>
  </si>
  <si>
    <t>Итог</t>
  </si>
  <si>
    <t>Процент незавершённых лидов</t>
  </si>
  <si>
    <t>Процент завершённых лидов</t>
  </si>
  <si>
    <t>Количество лидов, отработанных за целевое время (≤60 мин.)</t>
  </si>
</sst>
</file>

<file path=xl/styles.xml><?xml version="1.0" encoding="utf-8"?>
<styleSheet xmlns="http://schemas.openxmlformats.org/spreadsheetml/2006/main">
  <numFmts count="1">
    <numFmt numFmtId="164" formatCode="dd/mm/yy\ h:mm;@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2" fontId="0" fillId="0" borderId="0" xfId="0" applyNumberFormat="1"/>
    <xf numFmtId="1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tx>
            <c:v>Оператор 1</c:v>
          </c:tx>
          <c:dLbls>
            <c:showVal val="1"/>
          </c:dLbls>
          <c:cat>
            <c:strRef>
              <c:f>выгрузка!$J$8:$J$12</c:f>
              <c:strCache>
                <c:ptCount val="5"/>
                <c:pt idx="0">
                  <c:v>Закрыто</c:v>
                </c:pt>
                <c:pt idx="1">
                  <c:v>Преобразовано в сделку</c:v>
                </c:pt>
                <c:pt idx="2">
                  <c:v>Продажа по договору оферте</c:v>
                </c:pt>
                <c:pt idx="3">
                  <c:v>Типовой договор</c:v>
                </c:pt>
                <c:pt idx="4">
                  <c:v>Заказная разработка</c:v>
                </c:pt>
              </c:strCache>
            </c:strRef>
          </c:cat>
          <c:val>
            <c:numRef>
              <c:f>выгрузка!$H$8:$H$12</c:f>
              <c:numCache>
                <c:formatCode>0</c:formatCode>
                <c:ptCount val="5"/>
                <c:pt idx="0">
                  <c:v>83</c:v>
                </c:pt>
                <c:pt idx="1">
                  <c:v>38</c:v>
                </c:pt>
                <c:pt idx="2">
                  <c:v>22</c:v>
                </c:pt>
                <c:pt idx="3">
                  <c:v>10</c:v>
                </c:pt>
                <c:pt idx="4">
                  <c:v>22</c:v>
                </c:pt>
              </c:numCache>
            </c:numRef>
          </c:val>
        </c:ser>
        <c:ser>
          <c:idx val="1"/>
          <c:order val="1"/>
          <c:tx>
            <c:v>Оператор 2</c:v>
          </c:tx>
          <c:dLbls>
            <c:showVal val="1"/>
          </c:dLbls>
          <c:cat>
            <c:strRef>
              <c:f>выгрузка!$J$8:$J$12</c:f>
              <c:strCache>
                <c:ptCount val="5"/>
                <c:pt idx="0">
                  <c:v>Закрыто</c:v>
                </c:pt>
                <c:pt idx="1">
                  <c:v>Преобразовано в сделку</c:v>
                </c:pt>
                <c:pt idx="2">
                  <c:v>Продажа по договору оферте</c:v>
                </c:pt>
                <c:pt idx="3">
                  <c:v>Типовой договор</c:v>
                </c:pt>
                <c:pt idx="4">
                  <c:v>Заказная разработка</c:v>
                </c:pt>
              </c:strCache>
            </c:strRef>
          </c:cat>
          <c:val>
            <c:numRef>
              <c:f>выгрузка!$I$8:$I$12</c:f>
              <c:numCache>
                <c:formatCode>0</c:formatCode>
                <c:ptCount val="5"/>
                <c:pt idx="0">
                  <c:v>88</c:v>
                </c:pt>
                <c:pt idx="1">
                  <c:v>13</c:v>
                </c:pt>
                <c:pt idx="2">
                  <c:v>29</c:v>
                </c:pt>
                <c:pt idx="3">
                  <c:v>5</c:v>
                </c:pt>
                <c:pt idx="4">
                  <c:v>17</c:v>
                </c:pt>
              </c:numCache>
            </c:numRef>
          </c:val>
        </c:ser>
        <c:axId val="86220800"/>
        <c:axId val="86222720"/>
      </c:barChart>
      <c:catAx>
        <c:axId val="86220800"/>
        <c:scaling>
          <c:orientation val="minMax"/>
        </c:scaling>
        <c:axPos val="b"/>
        <c:tickLblPos val="nextTo"/>
        <c:crossAx val="86222720"/>
        <c:crosses val="autoZero"/>
        <c:auto val="1"/>
        <c:lblAlgn val="ctr"/>
        <c:lblOffset val="100"/>
      </c:catAx>
      <c:valAx>
        <c:axId val="86222720"/>
        <c:scaling>
          <c:orientation val="minMax"/>
        </c:scaling>
        <c:axPos val="l"/>
        <c:majorGridlines/>
        <c:numFmt formatCode="0" sourceLinked="1"/>
        <c:tickLblPos val="nextTo"/>
        <c:crossAx val="8622080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v>Оператор 1</c:v>
          </c:tx>
          <c:explosion val="25"/>
          <c:dLbls>
            <c:showVal val="1"/>
            <c:showLeaderLines val="1"/>
          </c:dLbls>
          <c:cat>
            <c:strRef>
              <c:f>выгрузка!$J$15:$J$16</c:f>
              <c:strCache>
                <c:ptCount val="2"/>
                <c:pt idx="0">
                  <c:v>Процент завершённых лидов</c:v>
                </c:pt>
                <c:pt idx="1">
                  <c:v>Процент незавершённых лидов</c:v>
                </c:pt>
              </c:strCache>
            </c:strRef>
          </c:cat>
          <c:val>
            <c:numRef>
              <c:f>выгрузка!$H$15:$H$16</c:f>
              <c:numCache>
                <c:formatCode>0.00</c:formatCode>
                <c:ptCount val="2"/>
                <c:pt idx="0">
                  <c:v>60.137457044673539</c:v>
                </c:pt>
                <c:pt idx="1">
                  <c:v>39.862542955326461</c:v>
                </c:pt>
              </c:numCache>
            </c:numRef>
          </c:val>
        </c:ser>
      </c:pie3DChart>
    </c:plotArea>
    <c:legend>
      <c:legendPos val="r"/>
      <c:layout/>
      <c:txPr>
        <a:bodyPr/>
        <a:lstStyle/>
        <a:p>
          <a:pPr rtl="0">
            <a:defRPr/>
          </a:pPr>
          <a:endParaRPr lang="ru-RU"/>
        </a:p>
      </c:txPr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view3D>
      <c:rotX val="30"/>
      <c:perspective val="30"/>
    </c:view3D>
    <c:plotArea>
      <c:layout/>
      <c:pie3DChart>
        <c:varyColors val="1"/>
        <c:ser>
          <c:idx val="0"/>
          <c:order val="0"/>
          <c:tx>
            <c:v>Оператор 2</c:v>
          </c:tx>
          <c:explosion val="25"/>
          <c:dLbls>
            <c:showVal val="1"/>
            <c:showLeaderLines val="1"/>
          </c:dLbls>
          <c:cat>
            <c:strRef>
              <c:f>выгрузка!$J$15:$J$16</c:f>
              <c:strCache>
                <c:ptCount val="2"/>
                <c:pt idx="0">
                  <c:v>Процент завершённых лидов</c:v>
                </c:pt>
                <c:pt idx="1">
                  <c:v>Процент незавершённых лидов</c:v>
                </c:pt>
              </c:strCache>
            </c:strRef>
          </c:cat>
          <c:val>
            <c:numRef>
              <c:f>выгрузка!$I$15:$I$16</c:f>
              <c:numCache>
                <c:formatCode>0.00</c:formatCode>
                <c:ptCount val="2"/>
                <c:pt idx="0">
                  <c:v>55.072463768115945</c:v>
                </c:pt>
                <c:pt idx="1">
                  <c:v>44.927536231884055</c:v>
                </c:pt>
              </c:numCache>
            </c:numRef>
          </c:val>
        </c:ser>
      </c:pie3DChart>
    </c:plotArea>
    <c:legend>
      <c:legendPos val="r"/>
      <c:layout>
        <c:manualLayout>
          <c:xMode val="edge"/>
          <c:yMode val="edge"/>
          <c:x val="0.64444458539907812"/>
          <c:y val="0.44122622073812989"/>
          <c:w val="0.34166652267421754"/>
          <c:h val="0.27968310378409472"/>
        </c:manualLayout>
      </c:layout>
      <c:txPr>
        <a:bodyPr/>
        <a:lstStyle/>
        <a:p>
          <a:pPr rtl="0">
            <a:defRPr/>
          </a:pPr>
          <a:endParaRPr lang="ru-RU"/>
        </a:p>
      </c:txPr>
    </c:legend>
    <c:plotVisOnly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tx>
            <c:v>Количество отработанных лидов</c:v>
          </c:tx>
          <c:dLbls>
            <c:showVal val="1"/>
          </c:dLbls>
          <c:cat>
            <c:strRef>
              <c:f>выгрузка!$H$17:$I$17</c:f>
              <c:strCache>
                <c:ptCount val="2"/>
                <c:pt idx="0">
                  <c:v>Оператор 1</c:v>
                </c:pt>
                <c:pt idx="1">
                  <c:v>Оператор 2</c:v>
                </c:pt>
              </c:strCache>
            </c:strRef>
          </c:cat>
          <c:val>
            <c:numRef>
              <c:f>выгрузка!$H$6:$I$6</c:f>
              <c:numCache>
                <c:formatCode>General</c:formatCode>
                <c:ptCount val="2"/>
                <c:pt idx="0">
                  <c:v>291</c:v>
                </c:pt>
                <c:pt idx="1">
                  <c:v>276</c:v>
                </c:pt>
              </c:numCache>
            </c:numRef>
          </c:val>
        </c:ser>
        <c:ser>
          <c:idx val="1"/>
          <c:order val="1"/>
          <c:tx>
            <c:v>Количество лидов, отработанных за целевое время (≤60 мин.)</c:v>
          </c:tx>
          <c:dLbls>
            <c:showVal val="1"/>
          </c:dLbls>
          <c:cat>
            <c:strRef>
              <c:f>выгрузка!$H$17:$I$17</c:f>
              <c:strCache>
                <c:ptCount val="2"/>
                <c:pt idx="0">
                  <c:v>Оператор 1</c:v>
                </c:pt>
                <c:pt idx="1">
                  <c:v>Оператор 2</c:v>
                </c:pt>
              </c:strCache>
            </c:strRef>
          </c:cat>
          <c:val>
            <c:numRef>
              <c:f>выгрузка!$H$4:$I$4</c:f>
              <c:numCache>
                <c:formatCode>0</c:formatCode>
                <c:ptCount val="2"/>
                <c:pt idx="0">
                  <c:v>166</c:v>
                </c:pt>
                <c:pt idx="1">
                  <c:v>164</c:v>
                </c:pt>
              </c:numCache>
            </c:numRef>
          </c:val>
        </c:ser>
        <c:axId val="87458560"/>
        <c:axId val="87520768"/>
      </c:barChart>
      <c:catAx>
        <c:axId val="87458560"/>
        <c:scaling>
          <c:orientation val="minMax"/>
        </c:scaling>
        <c:axPos val="b"/>
        <c:tickLblPos val="nextTo"/>
        <c:crossAx val="87520768"/>
        <c:crosses val="autoZero"/>
        <c:auto val="1"/>
        <c:lblAlgn val="ctr"/>
        <c:lblOffset val="100"/>
      </c:catAx>
      <c:valAx>
        <c:axId val="87520768"/>
        <c:scaling>
          <c:orientation val="minMax"/>
        </c:scaling>
        <c:axPos val="l"/>
        <c:majorGridlines/>
        <c:numFmt formatCode="General" sourceLinked="1"/>
        <c:tickLblPos val="nextTo"/>
        <c:crossAx val="874585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136072</xdr:colOff>
      <xdr:row>32</xdr:row>
      <xdr:rowOff>108857</xdr:rowOff>
    </xdr:from>
    <xdr:to>
      <xdr:col>10</xdr:col>
      <xdr:colOff>517072</xdr:colOff>
      <xdr:row>46</xdr:row>
      <xdr:rowOff>54429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18143</xdr:colOff>
      <xdr:row>30</xdr:row>
      <xdr:rowOff>99786</xdr:rowOff>
    </xdr:from>
    <xdr:to>
      <xdr:col>18</xdr:col>
      <xdr:colOff>616857</xdr:colOff>
      <xdr:row>44</xdr:row>
      <xdr:rowOff>45358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81643</xdr:colOff>
      <xdr:row>15</xdr:row>
      <xdr:rowOff>163284</xdr:rowOff>
    </xdr:from>
    <xdr:to>
      <xdr:col>19</xdr:col>
      <xdr:colOff>18142</xdr:colOff>
      <xdr:row>29</xdr:row>
      <xdr:rowOff>108856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</xdr:colOff>
      <xdr:row>1</xdr:row>
      <xdr:rowOff>145143</xdr:rowOff>
    </xdr:from>
    <xdr:to>
      <xdr:col>18</xdr:col>
      <xdr:colOff>598715</xdr:colOff>
      <xdr:row>15</xdr:row>
      <xdr:rowOff>90715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50800</xdr:colOff>
      <xdr:row>22</xdr:row>
      <xdr:rowOff>133350</xdr:rowOff>
    </xdr:to>
    <xdr:pic>
      <xdr:nvPicPr>
        <xdr:cNvPr id="205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5994400" cy="4464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9</xdr:col>
      <xdr:colOff>0</xdr:colOff>
      <xdr:row>0</xdr:row>
      <xdr:rowOff>0</xdr:rowOff>
    </xdr:from>
    <xdr:to>
      <xdr:col>18</xdr:col>
      <xdr:colOff>69850</xdr:colOff>
      <xdr:row>22</xdr:row>
      <xdr:rowOff>139700</xdr:rowOff>
    </xdr:to>
    <xdr:pic>
      <xdr:nvPicPr>
        <xdr:cNvPr id="205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5943600" y="0"/>
          <a:ext cx="6013450" cy="44704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18</xdr:col>
      <xdr:colOff>0</xdr:colOff>
      <xdr:row>0</xdr:row>
      <xdr:rowOff>0</xdr:rowOff>
    </xdr:from>
    <xdr:to>
      <xdr:col>27</xdr:col>
      <xdr:colOff>44450</xdr:colOff>
      <xdr:row>22</xdr:row>
      <xdr:rowOff>120650</xdr:rowOff>
    </xdr:to>
    <xdr:pic>
      <xdr:nvPicPr>
        <xdr:cNvPr id="2052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11887200" y="0"/>
          <a:ext cx="5988050" cy="44513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27</xdr:col>
      <xdr:colOff>0</xdr:colOff>
      <xdr:row>0</xdr:row>
      <xdr:rowOff>0</xdr:rowOff>
    </xdr:from>
    <xdr:to>
      <xdr:col>36</xdr:col>
      <xdr:colOff>44450</xdr:colOff>
      <xdr:row>22</xdr:row>
      <xdr:rowOff>146050</xdr:rowOff>
    </xdr:to>
    <xdr:pic>
      <xdr:nvPicPr>
        <xdr:cNvPr id="2053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17830800" y="0"/>
          <a:ext cx="5988050" cy="4476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36</xdr:col>
      <xdr:colOff>0</xdr:colOff>
      <xdr:row>0</xdr:row>
      <xdr:rowOff>0</xdr:rowOff>
    </xdr:from>
    <xdr:to>
      <xdr:col>45</xdr:col>
      <xdr:colOff>63500</xdr:colOff>
      <xdr:row>22</xdr:row>
      <xdr:rowOff>152400</xdr:rowOff>
    </xdr:to>
    <xdr:pic>
      <xdr:nvPicPr>
        <xdr:cNvPr id="2054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23774400" y="0"/>
          <a:ext cx="6007100" cy="44831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A2:A10"/>
  <sheetViews>
    <sheetView workbookViewId="0">
      <selection activeCell="A6" sqref="A6"/>
    </sheetView>
  </sheetViews>
  <sheetFormatPr defaultRowHeight="15.5"/>
  <sheetData>
    <row r="2" spans="1:1">
      <c r="A2" t="s">
        <v>26</v>
      </c>
    </row>
    <row r="3" spans="1:1">
      <c r="A3" t="s">
        <v>27</v>
      </c>
    </row>
    <row r="4" spans="1:1">
      <c r="A4" t="s">
        <v>28</v>
      </c>
    </row>
    <row r="5" spans="1:1">
      <c r="A5" t="s">
        <v>32</v>
      </c>
    </row>
    <row r="6" spans="1:1">
      <c r="A6" t="s">
        <v>33</v>
      </c>
    </row>
    <row r="8" spans="1:1">
      <c r="A8" t="s">
        <v>29</v>
      </c>
    </row>
    <row r="9" spans="1:1">
      <c r="A9" t="s">
        <v>30</v>
      </c>
    </row>
    <row r="10" spans="1:1">
      <c r="A10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J568"/>
  <sheetViews>
    <sheetView zoomScale="70" zoomScaleNormal="70" workbookViewId="0">
      <selection activeCell="C1" sqref="C1:C2"/>
    </sheetView>
  </sheetViews>
  <sheetFormatPr defaultRowHeight="15.5"/>
  <cols>
    <col min="1" max="1" width="29.25" bestFit="1" customWidth="1"/>
    <col min="2" max="2" width="16.25" bestFit="1" customWidth="1"/>
    <col min="3" max="3" width="17.83203125" style="1" bestFit="1" customWidth="1"/>
    <col min="4" max="4" width="17.83203125" bestFit="1" customWidth="1"/>
    <col min="5" max="5" width="16.08203125" style="1" customWidth="1"/>
    <col min="6" max="6" width="15.08203125" customWidth="1"/>
    <col min="7" max="7" width="17.08203125" customWidth="1"/>
    <col min="8" max="8" width="57.08203125" customWidth="1"/>
    <col min="9" max="9" width="27.5" customWidth="1"/>
    <col min="10" max="10" width="28.1640625" customWidth="1"/>
  </cols>
  <sheetData>
    <row r="1" spans="1:10">
      <c r="A1" t="s">
        <v>0</v>
      </c>
      <c r="B1" t="s">
        <v>13</v>
      </c>
      <c r="C1" s="1" t="s">
        <v>15</v>
      </c>
      <c r="D1" t="s">
        <v>16</v>
      </c>
      <c r="E1" s="1" t="s">
        <v>23</v>
      </c>
      <c r="F1" t="s">
        <v>19</v>
      </c>
      <c r="G1" t="s">
        <v>34</v>
      </c>
      <c r="H1" t="s">
        <v>37</v>
      </c>
      <c r="I1" t="s">
        <v>38</v>
      </c>
    </row>
    <row r="2" spans="1:10">
      <c r="A2" t="s">
        <v>10</v>
      </c>
      <c r="B2" t="s">
        <v>24</v>
      </c>
      <c r="C2" s="1">
        <v>45084.655555555553</v>
      </c>
      <c r="D2" t="s">
        <v>17</v>
      </c>
      <c r="E2" s="1">
        <v>45084.748611111114</v>
      </c>
      <c r="F2" t="str">
        <f>VLOOKUP(C2,Продукт!$C$2:$D$568,2,0)</f>
        <v>Jazz</v>
      </c>
      <c r="G2" s="2">
        <f>(E2-C2)*60*24</f>
        <v>134.00000000721775</v>
      </c>
      <c r="H2" s="2">
        <f>(SUMIF(B2:B568,"Оператор 1",G2:G568))/(COUNTIF(B2:B568,"Оператор 1"))</f>
        <v>684.56013745702705</v>
      </c>
      <c r="I2" s="2">
        <f>(SUMIF(B2:B568,"Оператор 2",G2:G568))/(COUNTIF(B2:B568,"Оператор 2"))</f>
        <v>614.19927536210037</v>
      </c>
    </row>
    <row r="3" spans="1:10">
      <c r="A3" t="s">
        <v>4</v>
      </c>
      <c r="B3" t="s">
        <v>24</v>
      </c>
      <c r="C3" s="1">
        <v>45097.709027777775</v>
      </c>
      <c r="D3" t="s">
        <v>17</v>
      </c>
      <c r="E3" s="1">
        <v>45098.659722222219</v>
      </c>
      <c r="F3" t="str">
        <f>VLOOKUP(C3,Продукт!$C$2:$D$568,2,0)</f>
        <v>SaluteSpeech</v>
      </c>
      <c r="G3" s="2">
        <f t="shared" ref="G3:G66" si="0">(E3-C3)*60*24</f>
        <v>1368.9999999990687</v>
      </c>
      <c r="H3" t="s">
        <v>42</v>
      </c>
      <c r="I3" t="s">
        <v>42</v>
      </c>
    </row>
    <row r="4" spans="1:10">
      <c r="A4" t="s">
        <v>1</v>
      </c>
      <c r="B4" t="s">
        <v>25</v>
      </c>
      <c r="C4" s="1">
        <v>45183.027083333334</v>
      </c>
      <c r="D4" t="s">
        <v>17</v>
      </c>
      <c r="E4" s="1">
        <v>45187.762499999997</v>
      </c>
      <c r="F4" t="str">
        <f>VLOOKUP(C4,Продукт!$C$2:$D$568,2,0)</f>
        <v>Jazz</v>
      </c>
      <c r="G4" s="2">
        <f t="shared" si="0"/>
        <v>6818.9999999944121</v>
      </c>
      <c r="H4" s="3">
        <f>(COUNTIFS(B2:B568,"Оператор 1",G2:G568,"&lt;61"))</f>
        <v>166</v>
      </c>
      <c r="I4" s="3">
        <f>(COUNTIFS(B2:B568,"Оператор 2",G2:G568,"&lt;61"))</f>
        <v>164</v>
      </c>
    </row>
    <row r="5" spans="1:10">
      <c r="A5" t="s">
        <v>4</v>
      </c>
      <c r="B5" t="s">
        <v>25</v>
      </c>
      <c r="C5" s="1">
        <v>45184.863194444442</v>
      </c>
      <c r="D5" t="s">
        <v>17</v>
      </c>
      <c r="E5" s="1">
        <v>45187.724305555559</v>
      </c>
      <c r="F5" t="str">
        <f>VLOOKUP(C5,Продукт!$C$2:$D$568,2,0)</f>
        <v>Jazz</v>
      </c>
      <c r="G5" s="2">
        <f t="shared" si="0"/>
        <v>4120.0000000081491</v>
      </c>
      <c r="H5" t="s">
        <v>35</v>
      </c>
      <c r="I5" t="s">
        <v>35</v>
      </c>
    </row>
    <row r="6" spans="1:10">
      <c r="A6" t="s">
        <v>12</v>
      </c>
      <c r="B6" t="s">
        <v>24</v>
      </c>
      <c r="C6" s="1">
        <v>45187.59097222222</v>
      </c>
      <c r="D6" t="s">
        <v>17</v>
      </c>
      <c r="E6" s="1">
        <v>45217.601388888892</v>
      </c>
      <c r="F6" t="str">
        <f>VLOOKUP(C6,Продукт!$C$2:$D$568,2,0)</f>
        <v>Jazz</v>
      </c>
      <c r="G6" s="2">
        <f t="shared" si="0"/>
        <v>43215.000000006985</v>
      </c>
      <c r="H6">
        <f>COUNTIF(B2:B568,"Оператор 1")</f>
        <v>291</v>
      </c>
      <c r="I6">
        <f>COUNTIF(B2:B568,"Оператор 2")</f>
        <v>276</v>
      </c>
    </row>
    <row r="7" spans="1:10">
      <c r="A7" t="s">
        <v>12</v>
      </c>
      <c r="B7" t="s">
        <v>25</v>
      </c>
      <c r="C7" s="1">
        <v>45187.647916666669</v>
      </c>
      <c r="D7" t="s">
        <v>17</v>
      </c>
      <c r="E7" s="1">
        <v>45187.65347222222</v>
      </c>
      <c r="F7" t="str">
        <f>VLOOKUP(C7,Продукт!$C$2:$D$568,2,0)</f>
        <v>Jazz</v>
      </c>
      <c r="G7" s="2">
        <f t="shared" si="0"/>
        <v>7.9999999946448952</v>
      </c>
      <c r="H7" t="s">
        <v>36</v>
      </c>
    </row>
    <row r="8" spans="1:10">
      <c r="A8" t="s">
        <v>3</v>
      </c>
      <c r="B8" t="s">
        <v>25</v>
      </c>
      <c r="C8" s="1">
        <v>45188.920138888891</v>
      </c>
      <c r="D8" t="s">
        <v>17</v>
      </c>
      <c r="E8" s="1">
        <v>45219.579861111109</v>
      </c>
      <c r="F8" t="str">
        <f>VLOOKUP(C8,Продукт!$C$2:$D$568,2,0)</f>
        <v>SaluteBot</v>
      </c>
      <c r="G8" s="2">
        <f t="shared" si="0"/>
        <v>44149.999999995343</v>
      </c>
      <c r="H8" s="3">
        <f>COUNTIFS(A2:A568,"Закрыто",B2:B568,"Оператор 1")</f>
        <v>83</v>
      </c>
      <c r="I8" s="3">
        <f>COUNTIFS(A2:A568,"Закрыто",B2:B568,"Оператор 2")</f>
        <v>88</v>
      </c>
      <c r="J8" t="s">
        <v>5</v>
      </c>
    </row>
    <row r="9" spans="1:10">
      <c r="A9" t="s">
        <v>5</v>
      </c>
      <c r="B9" t="s">
        <v>25</v>
      </c>
      <c r="C9" s="1">
        <v>45190.622916666667</v>
      </c>
      <c r="D9" t="s">
        <v>17</v>
      </c>
      <c r="E9" s="1">
        <v>45190.625694444447</v>
      </c>
      <c r="F9" t="str">
        <f>VLOOKUP(C9,Продукт!$C$2:$D$568,2,0)</f>
        <v>SaluteBot</v>
      </c>
      <c r="G9" s="2">
        <f t="shared" si="0"/>
        <v>4.0000000025611371</v>
      </c>
      <c r="H9" s="3">
        <f>COUNTIFS($A$2:$A$568,"Преобразовано в сделку",$B$2:$B$568,"Оператор 1")</f>
        <v>38</v>
      </c>
      <c r="I9" s="3">
        <f>COUNTIFS($A$2:$A$568,"Преобразовано в сделку",$B$2:$B$568,"Оператор 2")</f>
        <v>13</v>
      </c>
      <c r="J9" t="s">
        <v>6</v>
      </c>
    </row>
    <row r="10" spans="1:10">
      <c r="A10" t="s">
        <v>3</v>
      </c>
      <c r="B10" t="s">
        <v>25</v>
      </c>
      <c r="C10" s="1">
        <v>45195.515277777777</v>
      </c>
      <c r="D10" t="s">
        <v>17</v>
      </c>
      <c r="E10" s="1">
        <v>45195.550694444442</v>
      </c>
      <c r="F10" t="str">
        <f>VLOOKUP(C10,Продукт!$C$2:$D$568,2,0)</f>
        <v>SaluteBot</v>
      </c>
      <c r="G10" s="2">
        <f t="shared" si="0"/>
        <v>50.999999998603016</v>
      </c>
      <c r="H10" s="3">
        <f>COUNTIFS($A$2:$A$568,"Продажа по договору оферте",$B$2:$B$568,"Оператор 1")</f>
        <v>22</v>
      </c>
      <c r="I10" s="3">
        <f>COUNTIFS($A$2:$A$568,"Продажа по договору оферте",$B$2:$B$568,"Оператор 2")</f>
        <v>29</v>
      </c>
      <c r="J10" t="s">
        <v>10</v>
      </c>
    </row>
    <row r="11" spans="1:10">
      <c r="A11" t="s">
        <v>5</v>
      </c>
      <c r="B11" t="s">
        <v>25</v>
      </c>
      <c r="C11" s="1">
        <v>45195.629166666666</v>
      </c>
      <c r="D11" t="s">
        <v>17</v>
      </c>
      <c r="E11" s="1">
        <v>45195.644444444442</v>
      </c>
      <c r="F11" t="str">
        <f>VLOOKUP(C11,Продукт!$C$2:$D$568,2,0)</f>
        <v>SaluteBot</v>
      </c>
      <c r="G11" s="2">
        <f t="shared" si="0"/>
        <v>21.999999998370185</v>
      </c>
      <c r="H11" s="3">
        <f>COUNTIFS($A$2:$A$568,"Типовой договор",$B$2:$B$568,"Оператор 1")</f>
        <v>10</v>
      </c>
      <c r="I11" s="3">
        <f>COUNTIFS($A$2:$A$568,"Типовой договор",$B$2:$B$568,"Оператор 2")</f>
        <v>5</v>
      </c>
      <c r="J11" t="s">
        <v>12</v>
      </c>
    </row>
    <row r="12" spans="1:10">
      <c r="A12" t="s">
        <v>7</v>
      </c>
      <c r="B12" t="s">
        <v>25</v>
      </c>
      <c r="C12" s="1">
        <v>45196.716666666667</v>
      </c>
      <c r="D12" t="s">
        <v>17</v>
      </c>
      <c r="E12" s="1">
        <v>45196.738888888889</v>
      </c>
      <c r="F12" t="str">
        <f>VLOOKUP(C12,Продукт!$C$2:$D$568,2,0)</f>
        <v>Jazz</v>
      </c>
      <c r="G12" s="2">
        <f t="shared" si="0"/>
        <v>31.999999999534339</v>
      </c>
      <c r="H12" s="3">
        <f>COUNTIFS($A$2:$A$568,"Заказная разработка",$B$2:$B$568,"Оператор 1")</f>
        <v>22</v>
      </c>
      <c r="I12" s="3">
        <f>COUNTIFS($A$2:$A$568,"Заказная разработка",$B$2:$B$568,"Оператор 2")</f>
        <v>17</v>
      </c>
      <c r="J12" t="s">
        <v>3</v>
      </c>
    </row>
    <row r="13" spans="1:10">
      <c r="A13" t="s">
        <v>4</v>
      </c>
      <c r="B13" t="s">
        <v>25</v>
      </c>
      <c r="C13" s="1">
        <v>45199.96597222222</v>
      </c>
      <c r="D13" t="s">
        <v>17</v>
      </c>
      <c r="E13" s="1">
        <v>45201.650694444441</v>
      </c>
      <c r="F13" t="str">
        <f>VLOOKUP(C13,Продукт!$C$2:$D$568,2,0)</f>
        <v>Jazz</v>
      </c>
      <c r="G13" s="2">
        <f t="shared" si="0"/>
        <v>2425.9999999974389</v>
      </c>
      <c r="H13" s="3">
        <f>SUM(H8:H12)</f>
        <v>175</v>
      </c>
      <c r="I13" s="3">
        <f>SUM(I8:I12)</f>
        <v>152</v>
      </c>
      <c r="J13" t="s">
        <v>39</v>
      </c>
    </row>
    <row r="14" spans="1:10">
      <c r="A14" t="s">
        <v>5</v>
      </c>
      <c r="B14" t="s">
        <v>25</v>
      </c>
      <c r="C14" s="1">
        <v>45200.056250000001</v>
      </c>
      <c r="D14" t="s">
        <v>17</v>
      </c>
      <c r="E14" s="1">
        <v>45201.688888888886</v>
      </c>
      <c r="F14" t="str">
        <f>VLOOKUP(C14,Продукт!$C$2:$D$568,2,0)</f>
        <v>SaluteSpeech</v>
      </c>
      <c r="G14" s="2">
        <f t="shared" si="0"/>
        <v>2350.9999999939464</v>
      </c>
    </row>
    <row r="15" spans="1:10">
      <c r="A15" t="s">
        <v>5</v>
      </c>
      <c r="B15" t="s">
        <v>25</v>
      </c>
      <c r="C15" s="1">
        <v>45200.456944444442</v>
      </c>
      <c r="D15" t="s">
        <v>17</v>
      </c>
      <c r="E15" s="1">
        <v>45201.659722222219</v>
      </c>
      <c r="F15" t="str">
        <f>VLOOKUP(C15,Продукт!$C$2:$D$568,2,0)</f>
        <v>SaluteBot</v>
      </c>
      <c r="G15" s="2">
        <f t="shared" si="0"/>
        <v>1731.9999999983702</v>
      </c>
      <c r="H15" s="2">
        <f>H13/H6*100</f>
        <v>60.137457044673539</v>
      </c>
      <c r="I15" s="2">
        <f>I13/I6*100</f>
        <v>55.072463768115945</v>
      </c>
      <c r="J15" t="s">
        <v>41</v>
      </c>
    </row>
    <row r="16" spans="1:10">
      <c r="A16" t="s">
        <v>5</v>
      </c>
      <c r="B16" t="s">
        <v>25</v>
      </c>
      <c r="C16" s="1">
        <v>45200.529166666667</v>
      </c>
      <c r="D16" t="s">
        <v>17</v>
      </c>
      <c r="E16" s="1">
        <v>45201.745833333334</v>
      </c>
      <c r="F16" t="str">
        <f>VLOOKUP(C16,Продукт!$C$2:$D$568,2,0)</f>
        <v>SaluteSpeech</v>
      </c>
      <c r="G16" s="2">
        <f t="shared" si="0"/>
        <v>1752.0000000006985</v>
      </c>
      <c r="H16" s="2">
        <f>100-H15</f>
        <v>39.862542955326461</v>
      </c>
      <c r="I16" s="2">
        <f>100-I15</f>
        <v>44.927536231884055</v>
      </c>
      <c r="J16" t="s">
        <v>40</v>
      </c>
    </row>
    <row r="17" spans="1:9">
      <c r="A17" t="s">
        <v>7</v>
      </c>
      <c r="B17" t="s">
        <v>25</v>
      </c>
      <c r="C17" s="1">
        <v>45200.53125</v>
      </c>
      <c r="D17" t="s">
        <v>17</v>
      </c>
      <c r="E17" s="1">
        <v>45201.79583333333</v>
      </c>
      <c r="F17" t="str">
        <f>VLOOKUP(C17,Продукт!$C$2:$D$568,2,0)</f>
        <v>SaluteSpeech</v>
      </c>
      <c r="G17" s="2">
        <f t="shared" si="0"/>
        <v>1820.9999999951106</v>
      </c>
      <c r="H17" t="s">
        <v>24</v>
      </c>
      <c r="I17" t="s">
        <v>25</v>
      </c>
    </row>
    <row r="18" spans="1:9">
      <c r="A18" t="s">
        <v>9</v>
      </c>
      <c r="B18" t="s">
        <v>25</v>
      </c>
      <c r="C18" s="1">
        <v>45200.586805555555</v>
      </c>
      <c r="D18" t="s">
        <v>17</v>
      </c>
      <c r="E18" s="1">
        <v>45201.795138888891</v>
      </c>
      <c r="F18" t="str">
        <f>VLOOKUP(C18,Продукт!$C$2:$D$568,2,0)</f>
        <v>Jazz</v>
      </c>
      <c r="G18" s="2">
        <f t="shared" si="0"/>
        <v>1740.0000000034925</v>
      </c>
    </row>
    <row r="19" spans="1:9">
      <c r="A19" t="s">
        <v>5</v>
      </c>
      <c r="B19" t="s">
        <v>25</v>
      </c>
      <c r="C19" s="1">
        <v>45200.640277777777</v>
      </c>
      <c r="D19" t="s">
        <v>17</v>
      </c>
      <c r="E19" s="1">
        <v>45201.797222222223</v>
      </c>
      <c r="F19" t="str">
        <f>VLOOKUP(C19,Продукт!$C$2:$D$568,2,0)</f>
        <v>SaluteSpeech</v>
      </c>
      <c r="G19" s="2">
        <f t="shared" si="0"/>
        <v>1666.0000000032596</v>
      </c>
    </row>
    <row r="20" spans="1:9">
      <c r="A20" t="s">
        <v>5</v>
      </c>
      <c r="B20" t="s">
        <v>25</v>
      </c>
      <c r="C20" s="1">
        <v>45200.678472222222</v>
      </c>
      <c r="D20" t="s">
        <v>17</v>
      </c>
      <c r="E20" s="1">
        <v>45201.657638888886</v>
      </c>
      <c r="F20" t="str">
        <f>VLOOKUP(C20,Продукт!$C$2:$D$568,2,0)</f>
        <v>SaluteSpeech</v>
      </c>
      <c r="G20" s="2">
        <f t="shared" si="0"/>
        <v>1409.9999999965075</v>
      </c>
    </row>
    <row r="21" spans="1:9">
      <c r="A21" t="s">
        <v>9</v>
      </c>
      <c r="B21" t="s">
        <v>25</v>
      </c>
      <c r="C21" s="1">
        <v>45200.720833333333</v>
      </c>
      <c r="D21" t="s">
        <v>17</v>
      </c>
      <c r="E21" s="1">
        <v>45201.744444444441</v>
      </c>
      <c r="F21" t="str">
        <f>VLOOKUP(C21,Продукт!$C$2:$D$568,2,0)</f>
        <v>Jazz</v>
      </c>
      <c r="G21" s="2">
        <f t="shared" si="0"/>
        <v>1473.9999999955762</v>
      </c>
    </row>
    <row r="22" spans="1:9">
      <c r="A22" t="s">
        <v>5</v>
      </c>
      <c r="B22" t="s">
        <v>24</v>
      </c>
      <c r="C22" s="1">
        <v>45201.148611111108</v>
      </c>
      <c r="D22" t="s">
        <v>17</v>
      </c>
      <c r="E22" s="1">
        <v>45201.6875</v>
      </c>
      <c r="F22" t="str">
        <f>VLOOKUP(C22,Продукт!$C$2:$D$568,2,0)</f>
        <v>SaluteBot</v>
      </c>
      <c r="G22" s="2">
        <f t="shared" si="0"/>
        <v>776.00000000442378</v>
      </c>
    </row>
    <row r="23" spans="1:9">
      <c r="A23" t="s">
        <v>11</v>
      </c>
      <c r="B23" t="s">
        <v>24</v>
      </c>
      <c r="C23" s="1">
        <v>45201.213888888888</v>
      </c>
      <c r="D23" t="s">
        <v>17</v>
      </c>
      <c r="E23" s="1">
        <v>45201.716666666667</v>
      </c>
      <c r="F23" t="str">
        <f>VLOOKUP(C23,Продукт!$C$2:$D$568,2,0)</f>
        <v>Jazz</v>
      </c>
      <c r="G23" s="2">
        <f t="shared" si="0"/>
        <v>724.00000000256114</v>
      </c>
    </row>
    <row r="24" spans="1:9">
      <c r="A24" t="s">
        <v>12</v>
      </c>
      <c r="B24" t="s">
        <v>24</v>
      </c>
      <c r="C24" s="1">
        <v>45201.395833333336</v>
      </c>
      <c r="D24" t="s">
        <v>17</v>
      </c>
      <c r="E24" s="1">
        <v>45201.502083333333</v>
      </c>
      <c r="F24" t="str">
        <f>VLOOKUP(C24,Продукт!$C$2:$D$568,2,0)</f>
        <v>Jazz</v>
      </c>
      <c r="G24" s="2">
        <f t="shared" si="0"/>
        <v>152.99999999580905</v>
      </c>
    </row>
    <row r="25" spans="1:9">
      <c r="A25" t="s">
        <v>7</v>
      </c>
      <c r="B25" t="s">
        <v>24</v>
      </c>
      <c r="C25" s="1">
        <v>45201.477083333331</v>
      </c>
      <c r="D25" t="s">
        <v>17</v>
      </c>
      <c r="E25" s="1">
        <v>45201.506249999999</v>
      </c>
      <c r="F25" t="str">
        <f>VLOOKUP(C25,Продукт!$C$2:$D$568,2,0)</f>
        <v>SaluteBot</v>
      </c>
      <c r="G25" s="2">
        <f t="shared" si="0"/>
        <v>42.000000000698492</v>
      </c>
    </row>
    <row r="26" spans="1:9">
      <c r="A26" t="s">
        <v>7</v>
      </c>
      <c r="B26" t="s">
        <v>24</v>
      </c>
      <c r="C26" s="1">
        <v>45201.482638888891</v>
      </c>
      <c r="D26" t="s">
        <v>17</v>
      </c>
      <c r="E26" s="1">
        <v>45201.524305555555</v>
      </c>
      <c r="F26" t="str">
        <f>VLOOKUP(C26,Продукт!$C$2:$D$568,2,0)</f>
        <v>SaluteBot</v>
      </c>
      <c r="G26" s="2">
        <f t="shared" si="0"/>
        <v>59.99999999650754</v>
      </c>
    </row>
    <row r="27" spans="1:9">
      <c r="A27" t="s">
        <v>11</v>
      </c>
      <c r="B27" t="s">
        <v>24</v>
      </c>
      <c r="C27" s="1">
        <v>45201.525694444441</v>
      </c>
      <c r="D27" t="s">
        <v>17</v>
      </c>
      <c r="E27" s="1">
        <v>45201.605555555558</v>
      </c>
      <c r="F27" t="str">
        <f>VLOOKUP(C27,Продукт!$C$2:$D$568,2,0)</f>
        <v>SaluteBot</v>
      </c>
      <c r="G27" s="2">
        <f t="shared" si="0"/>
        <v>115.00000000814907</v>
      </c>
    </row>
    <row r="28" spans="1:9">
      <c r="A28" t="s">
        <v>7</v>
      </c>
      <c r="B28" t="s">
        <v>25</v>
      </c>
      <c r="C28" s="1">
        <v>45201.601388888892</v>
      </c>
      <c r="D28" t="s">
        <v>17</v>
      </c>
      <c r="E28" s="1">
        <v>45201.690972222219</v>
      </c>
      <c r="F28" t="str">
        <f>VLOOKUP(C28,Продукт!$C$2:$D$568,2,0)</f>
        <v>SaluteSpeech</v>
      </c>
      <c r="G28" s="2">
        <f t="shared" si="0"/>
        <v>128.9999999909196</v>
      </c>
    </row>
    <row r="29" spans="1:9">
      <c r="A29" t="s">
        <v>5</v>
      </c>
      <c r="B29" t="s">
        <v>24</v>
      </c>
      <c r="C29" s="1">
        <v>45201.619444444441</v>
      </c>
      <c r="D29" t="s">
        <v>17</v>
      </c>
      <c r="E29" s="1">
        <v>45201.690972222219</v>
      </c>
      <c r="F29" t="str">
        <f>VLOOKUP(C29,Продукт!$C$2:$D$568,2,0)</f>
        <v>Jazz</v>
      </c>
      <c r="G29" s="2">
        <f t="shared" si="0"/>
        <v>103.00000000046566</v>
      </c>
    </row>
    <row r="30" spans="1:9">
      <c r="A30" t="s">
        <v>9</v>
      </c>
      <c r="B30" t="s">
        <v>25</v>
      </c>
      <c r="C30" s="1">
        <v>45201.631249999999</v>
      </c>
      <c r="D30" t="s">
        <v>17</v>
      </c>
      <c r="E30" s="1">
        <v>45201.633333333331</v>
      </c>
      <c r="F30" t="str">
        <f>VLOOKUP(C30,Продукт!$C$2:$D$568,2,0)</f>
        <v>Jazz</v>
      </c>
      <c r="G30" s="2">
        <f t="shared" si="0"/>
        <v>2.9999999993015081</v>
      </c>
    </row>
    <row r="31" spans="1:9">
      <c r="A31" t="s">
        <v>10</v>
      </c>
      <c r="B31" t="s">
        <v>25</v>
      </c>
      <c r="C31" s="1">
        <v>45201.690972222219</v>
      </c>
      <c r="D31" t="s">
        <v>17</v>
      </c>
      <c r="E31" s="1">
        <v>45201.705555555556</v>
      </c>
      <c r="F31" t="str">
        <f>VLOOKUP(C31,Продукт!$C$2:$D$568,2,0)</f>
        <v>Jazz</v>
      </c>
      <c r="G31" s="2">
        <f t="shared" si="0"/>
        <v>21.000000005587935</v>
      </c>
    </row>
    <row r="32" spans="1:9">
      <c r="A32" t="s">
        <v>5</v>
      </c>
      <c r="B32" t="s">
        <v>25</v>
      </c>
      <c r="C32" s="1">
        <v>45201.709722222222</v>
      </c>
      <c r="D32" t="s">
        <v>17</v>
      </c>
      <c r="E32" s="1">
        <v>45201.726388888892</v>
      </c>
      <c r="F32" t="str">
        <f>VLOOKUP(C32,Продукт!$C$2:$D$568,2,0)</f>
        <v>Jazz</v>
      </c>
      <c r="G32" s="2">
        <f t="shared" si="0"/>
        <v>24.000000004889444</v>
      </c>
    </row>
    <row r="33" spans="1:7">
      <c r="A33" t="s">
        <v>11</v>
      </c>
      <c r="B33" t="s">
        <v>24</v>
      </c>
      <c r="C33" s="1">
        <v>45201.71597222222</v>
      </c>
      <c r="D33" t="s">
        <v>17</v>
      </c>
      <c r="E33" s="1">
        <v>45201.720138888886</v>
      </c>
      <c r="F33" t="str">
        <f>VLOOKUP(C33,Продукт!$C$2:$D$568,2,0)</f>
        <v>Jazz</v>
      </c>
      <c r="G33" s="2">
        <f t="shared" si="0"/>
        <v>5.9999999986030161</v>
      </c>
    </row>
    <row r="34" spans="1:7">
      <c r="A34" t="s">
        <v>5</v>
      </c>
      <c r="B34" t="s">
        <v>25</v>
      </c>
      <c r="C34" s="1">
        <v>45201.726388888892</v>
      </c>
      <c r="D34" t="s">
        <v>17</v>
      </c>
      <c r="E34" s="1">
        <v>45201.813888888886</v>
      </c>
      <c r="F34" t="str">
        <f>VLOOKUP(C34,Продукт!$C$2:$D$568,2,0)</f>
        <v>SaluteSpeech</v>
      </c>
      <c r="G34" s="2">
        <f t="shared" si="0"/>
        <v>125.9999999916181</v>
      </c>
    </row>
    <row r="35" spans="1:7">
      <c r="A35" t="s">
        <v>9</v>
      </c>
      <c r="B35" t="s">
        <v>24</v>
      </c>
      <c r="C35" s="1">
        <v>45201.73333333333</v>
      </c>
      <c r="D35" t="s">
        <v>17</v>
      </c>
      <c r="E35" s="1">
        <v>45201.745138888888</v>
      </c>
      <c r="F35" t="str">
        <f>VLOOKUP(C35,Продукт!$C$2:$D$568,2,0)</f>
        <v>Jazz</v>
      </c>
      <c r="G35" s="2">
        <f t="shared" si="0"/>
        <v>17.000000003026798</v>
      </c>
    </row>
    <row r="36" spans="1:7">
      <c r="A36" t="s">
        <v>5</v>
      </c>
      <c r="B36" t="s">
        <v>25</v>
      </c>
      <c r="C36" s="1">
        <v>45201.748611111114</v>
      </c>
      <c r="D36" t="s">
        <v>17</v>
      </c>
      <c r="E36" s="1">
        <v>45201.790972222225</v>
      </c>
      <c r="F36" t="str">
        <f>VLOOKUP(C36,Продукт!$C$2:$D$568,2,0)</f>
        <v>SaluteBot</v>
      </c>
      <c r="G36" s="2">
        <f t="shared" si="0"/>
        <v>60.999999999767169</v>
      </c>
    </row>
    <row r="37" spans="1:7">
      <c r="A37" t="s">
        <v>12</v>
      </c>
      <c r="B37" t="s">
        <v>24</v>
      </c>
      <c r="C37" s="1">
        <v>45201.75277777778</v>
      </c>
      <c r="D37" t="s">
        <v>17</v>
      </c>
      <c r="E37" s="1">
        <v>45201.754166666666</v>
      </c>
      <c r="F37" t="str">
        <f>VLOOKUP(C37,Продукт!$C$2:$D$568,2,0)</f>
        <v>Jazz</v>
      </c>
      <c r="G37" s="2">
        <f t="shared" si="0"/>
        <v>1.9999999960418791</v>
      </c>
    </row>
    <row r="38" spans="1:7">
      <c r="A38" t="s">
        <v>12</v>
      </c>
      <c r="B38" t="s">
        <v>24</v>
      </c>
      <c r="C38" s="1">
        <v>45201.758333333331</v>
      </c>
      <c r="D38" t="s">
        <v>17</v>
      </c>
      <c r="E38" s="1">
        <v>45201.770138888889</v>
      </c>
      <c r="F38" t="str">
        <f>VLOOKUP(C38,Продукт!$C$2:$D$568,2,0)</f>
        <v>Jazz</v>
      </c>
      <c r="G38" s="2">
        <f t="shared" si="0"/>
        <v>17.000000003026798</v>
      </c>
    </row>
    <row r="39" spans="1:7">
      <c r="A39" t="s">
        <v>5</v>
      </c>
      <c r="B39" t="s">
        <v>24</v>
      </c>
      <c r="C39" s="1">
        <v>45201.761111111111</v>
      </c>
      <c r="D39" t="s">
        <v>17</v>
      </c>
      <c r="E39" s="1">
        <v>45201.776388888888</v>
      </c>
      <c r="F39" t="str">
        <f>VLOOKUP(C39,Продукт!$C$2:$D$568,2,0)</f>
        <v>SaluteBot</v>
      </c>
      <c r="G39" s="2">
        <f t="shared" si="0"/>
        <v>21.999999998370185</v>
      </c>
    </row>
    <row r="40" spans="1:7">
      <c r="A40" t="s">
        <v>5</v>
      </c>
      <c r="B40" t="s">
        <v>25</v>
      </c>
      <c r="C40" s="1">
        <v>45201.770138888889</v>
      </c>
      <c r="D40" t="s">
        <v>17</v>
      </c>
      <c r="E40" s="1">
        <v>45201.792361111111</v>
      </c>
      <c r="F40" t="str">
        <f>VLOOKUP(C40,Продукт!$C$2:$D$568,2,0)</f>
        <v>Jazz</v>
      </c>
      <c r="G40" s="2">
        <f t="shared" si="0"/>
        <v>31.999999999534339</v>
      </c>
    </row>
    <row r="41" spans="1:7">
      <c r="A41" t="s">
        <v>10</v>
      </c>
      <c r="B41" t="s">
        <v>25</v>
      </c>
      <c r="C41" s="1">
        <v>45201.777083333334</v>
      </c>
      <c r="D41" t="s">
        <v>17</v>
      </c>
      <c r="E41" s="1">
        <v>45201.857638888891</v>
      </c>
      <c r="F41" t="str">
        <f>VLOOKUP(C41,Продукт!$C$2:$D$568,2,0)</f>
        <v>SaluteBot</v>
      </c>
      <c r="G41" s="2">
        <f t="shared" si="0"/>
        <v>116.00000000093132</v>
      </c>
    </row>
    <row r="42" spans="1:7">
      <c r="A42" t="s">
        <v>3</v>
      </c>
      <c r="B42" t="s">
        <v>25</v>
      </c>
      <c r="C42" s="1">
        <v>45201.802777777775</v>
      </c>
      <c r="D42" t="s">
        <v>17</v>
      </c>
      <c r="E42" s="1">
        <v>45201.815972222219</v>
      </c>
      <c r="F42" t="str">
        <f>VLOOKUP(C42,Продукт!$C$2:$D$568,2,0)</f>
        <v>SaluteBot</v>
      </c>
      <c r="G42" s="2">
        <f t="shared" si="0"/>
        <v>18.999999999068677</v>
      </c>
    </row>
    <row r="43" spans="1:7">
      <c r="A43" t="s">
        <v>10</v>
      </c>
      <c r="B43" t="s">
        <v>24</v>
      </c>
      <c r="C43" s="1">
        <v>45201.902083333334</v>
      </c>
      <c r="D43" t="s">
        <v>17</v>
      </c>
      <c r="E43" s="1">
        <v>45202.543749999997</v>
      </c>
      <c r="F43" t="str">
        <f>VLOOKUP(C43,Продукт!$C$2:$D$568,2,0)</f>
        <v>SaluteBot</v>
      </c>
      <c r="G43" s="2">
        <f t="shared" si="0"/>
        <v>923.99999999441206</v>
      </c>
    </row>
    <row r="44" spans="1:7">
      <c r="A44" t="s">
        <v>5</v>
      </c>
      <c r="B44" t="s">
        <v>24</v>
      </c>
      <c r="C44" s="1">
        <v>45201.996527777781</v>
      </c>
      <c r="D44" t="s">
        <v>17</v>
      </c>
      <c r="E44" s="1">
        <v>45202.640277777777</v>
      </c>
      <c r="F44" t="str">
        <f>VLOOKUP(C44,Продукт!$C$2:$D$568,2,0)</f>
        <v>SaluteBot</v>
      </c>
      <c r="G44" s="2">
        <f t="shared" si="0"/>
        <v>926.99999999371357</v>
      </c>
    </row>
    <row r="45" spans="1:7">
      <c r="A45" t="s">
        <v>3</v>
      </c>
      <c r="B45" t="s">
        <v>24</v>
      </c>
      <c r="C45" s="1">
        <v>45202.031944444447</v>
      </c>
      <c r="D45" t="s">
        <v>17</v>
      </c>
      <c r="E45" s="1">
        <v>45202.646527777775</v>
      </c>
      <c r="F45" t="str">
        <f>VLOOKUP(C45,Продукт!$C$2:$D$568,2,0)</f>
        <v>SaluteBot</v>
      </c>
      <c r="G45" s="2">
        <f t="shared" si="0"/>
        <v>884.99999999301508</v>
      </c>
    </row>
    <row r="46" spans="1:7">
      <c r="A46" t="s">
        <v>7</v>
      </c>
      <c r="B46" t="s">
        <v>25</v>
      </c>
      <c r="C46" s="1">
        <v>45202.061805555553</v>
      </c>
      <c r="D46" t="s">
        <v>17</v>
      </c>
      <c r="E46" s="1">
        <v>45202.586805555555</v>
      </c>
      <c r="F46" t="str">
        <f>VLOOKUP(C46,Продукт!$C$2:$D$568,2,0)</f>
        <v>SaluteSpeech</v>
      </c>
      <c r="G46" s="2">
        <f t="shared" si="0"/>
        <v>756.00000000209548</v>
      </c>
    </row>
    <row r="47" spans="1:7">
      <c r="A47" t="s">
        <v>6</v>
      </c>
      <c r="B47" t="s">
        <v>24</v>
      </c>
      <c r="C47" s="1">
        <v>45202.111805555556</v>
      </c>
      <c r="D47" t="s">
        <v>17</v>
      </c>
      <c r="E47" s="1">
        <v>45202.768750000003</v>
      </c>
      <c r="F47" t="str">
        <f>VLOOKUP(C47,Продукт!$C$2:$D$568,2,0)</f>
        <v>SaluteSpeech</v>
      </c>
      <c r="G47" s="2">
        <f t="shared" si="0"/>
        <v>946.00000000325963</v>
      </c>
    </row>
    <row r="48" spans="1:7">
      <c r="A48" t="s">
        <v>11</v>
      </c>
      <c r="B48" t="s">
        <v>25</v>
      </c>
      <c r="C48" s="1">
        <v>45202.15347222222</v>
      </c>
      <c r="D48" t="s">
        <v>17</v>
      </c>
      <c r="E48" s="1">
        <v>45202.696527777778</v>
      </c>
      <c r="F48" t="str">
        <f>VLOOKUP(C48,Продукт!$C$2:$D$568,2,0)</f>
        <v>Jazz</v>
      </c>
      <c r="G48" s="2">
        <f t="shared" si="0"/>
        <v>782.0000000030268</v>
      </c>
    </row>
    <row r="49" spans="1:7">
      <c r="A49" t="s">
        <v>9</v>
      </c>
      <c r="B49" t="s">
        <v>25</v>
      </c>
      <c r="C49" s="1">
        <v>45202.333333333336</v>
      </c>
      <c r="D49" t="s">
        <v>17</v>
      </c>
      <c r="E49" s="1">
        <v>45202.500694444447</v>
      </c>
      <c r="F49" t="str">
        <f>VLOOKUP(C49,Продукт!$C$2:$D$568,2,0)</f>
        <v>Jazz</v>
      </c>
      <c r="G49" s="2">
        <f t="shared" si="0"/>
        <v>240.99999999976717</v>
      </c>
    </row>
    <row r="50" spans="1:7">
      <c r="A50" t="s">
        <v>3</v>
      </c>
      <c r="B50" t="s">
        <v>24</v>
      </c>
      <c r="C50" s="1">
        <v>45202.362500000003</v>
      </c>
      <c r="D50" t="s">
        <v>17</v>
      </c>
      <c r="E50" s="1">
        <v>45202.500694444447</v>
      </c>
      <c r="F50" t="str">
        <f>VLOOKUP(C50,Продукт!$C$2:$D$568,2,0)</f>
        <v>SaluteBot</v>
      </c>
      <c r="G50" s="2">
        <f t="shared" si="0"/>
        <v>198.99999999906868</v>
      </c>
    </row>
    <row r="51" spans="1:7">
      <c r="A51" t="s">
        <v>7</v>
      </c>
      <c r="B51" t="s">
        <v>24</v>
      </c>
      <c r="C51" s="1">
        <v>45202.466666666667</v>
      </c>
      <c r="D51" t="s">
        <v>17</v>
      </c>
      <c r="E51" s="1">
        <v>45202.501388888886</v>
      </c>
      <c r="F51" t="str">
        <f>VLOOKUP(C51,Продукт!$C$2:$D$568,2,0)</f>
        <v>SaluteSpeech</v>
      </c>
      <c r="G51" s="2">
        <f t="shared" si="0"/>
        <v>49.999999995343387</v>
      </c>
    </row>
    <row r="52" spans="1:7">
      <c r="A52" t="s">
        <v>9</v>
      </c>
      <c r="B52" t="s">
        <v>24</v>
      </c>
      <c r="C52" s="1">
        <v>45202.468055555553</v>
      </c>
      <c r="D52" t="s">
        <v>17</v>
      </c>
      <c r="E52" s="1">
        <v>45202.502083333333</v>
      </c>
      <c r="F52" t="str">
        <f>VLOOKUP(C52,Продукт!$C$2:$D$568,2,0)</f>
        <v>SaluteSpeech</v>
      </c>
      <c r="G52" s="2">
        <f t="shared" si="0"/>
        <v>49.000000002561137</v>
      </c>
    </row>
    <row r="53" spans="1:7">
      <c r="A53" t="s">
        <v>5</v>
      </c>
      <c r="B53" t="s">
        <v>24</v>
      </c>
      <c r="C53" s="1">
        <v>45202.472222222219</v>
      </c>
      <c r="D53" t="s">
        <v>17</v>
      </c>
      <c r="E53" s="1">
        <v>45202.500694444447</v>
      </c>
      <c r="F53" t="str">
        <f>VLOOKUP(C53,Продукт!$C$2:$D$568,2,0)</f>
        <v>SaluteBot</v>
      </c>
      <c r="G53" s="2">
        <f t="shared" si="0"/>
        <v>41.000000007916242</v>
      </c>
    </row>
    <row r="54" spans="1:7">
      <c r="A54" t="s">
        <v>11</v>
      </c>
      <c r="B54" t="s">
        <v>24</v>
      </c>
      <c r="C54" s="1">
        <v>45202.479166666664</v>
      </c>
      <c r="D54" t="s">
        <v>17</v>
      </c>
      <c r="E54" s="1">
        <v>45202.500694444447</v>
      </c>
      <c r="F54" t="str">
        <f>VLOOKUP(C54,Продукт!$C$2:$D$568,2,0)</f>
        <v>SaluteSpeech</v>
      </c>
      <c r="G54" s="2">
        <f t="shared" si="0"/>
        <v>31.000000006752089</v>
      </c>
    </row>
    <row r="55" spans="1:7">
      <c r="A55" t="s">
        <v>11</v>
      </c>
      <c r="B55" t="s">
        <v>24</v>
      </c>
      <c r="C55" s="1">
        <v>45202.480555555558</v>
      </c>
      <c r="D55" t="s">
        <v>17</v>
      </c>
      <c r="E55" s="1">
        <v>45202.501388888886</v>
      </c>
      <c r="F55" t="str">
        <f>VLOOKUP(C55,Продукт!$C$2:$D$568,2,0)</f>
        <v>Jazz</v>
      </c>
      <c r="G55" s="2">
        <f t="shared" si="0"/>
        <v>29.999999993015081</v>
      </c>
    </row>
    <row r="56" spans="1:7">
      <c r="A56" t="s">
        <v>9</v>
      </c>
      <c r="B56" t="s">
        <v>25</v>
      </c>
      <c r="C56" s="1">
        <v>45202.496527777781</v>
      </c>
      <c r="D56" t="s">
        <v>17</v>
      </c>
      <c r="E56" s="1">
        <v>45202.518055555556</v>
      </c>
      <c r="F56" t="str">
        <f>VLOOKUP(C56,Продукт!$C$2:$D$568,2,0)</f>
        <v>Jazz</v>
      </c>
      <c r="G56" s="2">
        <f t="shared" si="0"/>
        <v>30.99999999627471</v>
      </c>
    </row>
    <row r="57" spans="1:7">
      <c r="A57" t="s">
        <v>5</v>
      </c>
      <c r="B57" t="s">
        <v>24</v>
      </c>
      <c r="C57" s="1">
        <v>45202.513194444444</v>
      </c>
      <c r="D57" t="s">
        <v>17</v>
      </c>
      <c r="E57" s="1">
        <v>45202.542361111111</v>
      </c>
      <c r="F57" t="str">
        <f>VLOOKUP(C57,Продукт!$C$2:$D$568,2,0)</f>
        <v>SaluteBot</v>
      </c>
      <c r="G57" s="2">
        <f t="shared" si="0"/>
        <v>42.000000000698492</v>
      </c>
    </row>
    <row r="58" spans="1:7">
      <c r="A58" t="s">
        <v>6</v>
      </c>
      <c r="B58" t="s">
        <v>24</v>
      </c>
      <c r="C58" s="1">
        <v>45202.52847222222</v>
      </c>
      <c r="D58" t="s">
        <v>17</v>
      </c>
      <c r="E58" s="1">
        <v>45202.538194444445</v>
      </c>
      <c r="F58" t="str">
        <f>VLOOKUP(C58,Продукт!$C$2:$D$568,2,0)</f>
        <v>Jazz</v>
      </c>
      <c r="G58" s="2">
        <f t="shared" si="0"/>
        <v>14.00000000372529</v>
      </c>
    </row>
    <row r="59" spans="1:7">
      <c r="A59" t="s">
        <v>3</v>
      </c>
      <c r="B59" t="s">
        <v>25</v>
      </c>
      <c r="C59" s="1">
        <v>45202.540972222225</v>
      </c>
      <c r="D59" t="s">
        <v>17</v>
      </c>
      <c r="E59" s="1">
        <v>45202.682638888888</v>
      </c>
      <c r="F59" t="str">
        <f>VLOOKUP(C59,Продукт!$C$2:$D$568,2,0)</f>
        <v>SaluteBot</v>
      </c>
      <c r="G59" s="2">
        <f t="shared" si="0"/>
        <v>203.99999999441206</v>
      </c>
    </row>
    <row r="60" spans="1:7">
      <c r="A60" t="s">
        <v>10</v>
      </c>
      <c r="B60" t="s">
        <v>24</v>
      </c>
      <c r="C60" s="1">
        <v>45202.543055555558</v>
      </c>
      <c r="D60" t="s">
        <v>17</v>
      </c>
      <c r="E60" s="1">
        <v>45202.548611111109</v>
      </c>
      <c r="F60" t="str">
        <f>VLOOKUP(C60,Продукт!$C$2:$D$568,2,0)</f>
        <v>Jazz</v>
      </c>
      <c r="G60" s="2">
        <f t="shared" si="0"/>
        <v>7.9999999946448952</v>
      </c>
    </row>
    <row r="61" spans="1:7">
      <c r="A61" t="s">
        <v>9</v>
      </c>
      <c r="B61" t="s">
        <v>25</v>
      </c>
      <c r="C61" s="1">
        <v>45202.563888888886</v>
      </c>
      <c r="D61" t="s">
        <v>17</v>
      </c>
      <c r="E61" s="1">
        <v>45202.576388888891</v>
      </c>
      <c r="F61" t="str">
        <f>VLOOKUP(C61,Продукт!$C$2:$D$568,2,0)</f>
        <v>Jazz</v>
      </c>
      <c r="G61" s="2">
        <f t="shared" si="0"/>
        <v>18.000000006286427</v>
      </c>
    </row>
    <row r="62" spans="1:7">
      <c r="A62" t="s">
        <v>10</v>
      </c>
      <c r="B62" t="s">
        <v>25</v>
      </c>
      <c r="C62" s="1">
        <v>45202.574305555558</v>
      </c>
      <c r="D62" t="s">
        <v>17</v>
      </c>
      <c r="E62" s="1">
        <v>45202.738194444442</v>
      </c>
      <c r="F62" t="str">
        <f>VLOOKUP(C62,Продукт!$C$2:$D$568,2,0)</f>
        <v>SaluteBot</v>
      </c>
      <c r="G62" s="2">
        <f t="shared" si="0"/>
        <v>235.9999999939464</v>
      </c>
    </row>
    <row r="63" spans="1:7">
      <c r="A63" t="s">
        <v>7</v>
      </c>
      <c r="B63" t="s">
        <v>24</v>
      </c>
      <c r="C63" s="1">
        <v>45202.578472222223</v>
      </c>
      <c r="D63" t="s">
        <v>17</v>
      </c>
      <c r="E63" s="1">
        <v>45202.597222222219</v>
      </c>
      <c r="F63" t="str">
        <f>VLOOKUP(C63,Продукт!$C$2:$D$568,2,0)</f>
        <v>Jazz</v>
      </c>
      <c r="G63" s="2">
        <f t="shared" si="0"/>
        <v>26.999999993713573</v>
      </c>
    </row>
    <row r="64" spans="1:7">
      <c r="A64" t="s">
        <v>9</v>
      </c>
      <c r="B64" t="s">
        <v>25</v>
      </c>
      <c r="C64" s="1">
        <v>45202.584722222222</v>
      </c>
      <c r="D64" t="s">
        <v>17</v>
      </c>
      <c r="E64" s="1">
        <v>45202.68472222222</v>
      </c>
      <c r="F64" t="str">
        <f>VLOOKUP(C64,Продукт!$C$2:$D$568,2,0)</f>
        <v>Jazz</v>
      </c>
      <c r="G64" s="2">
        <f t="shared" si="0"/>
        <v>143.99999999790452</v>
      </c>
    </row>
    <row r="65" spans="1:7">
      <c r="A65" t="s">
        <v>5</v>
      </c>
      <c r="B65" t="s">
        <v>25</v>
      </c>
      <c r="C65" s="1">
        <v>45202.586805555555</v>
      </c>
      <c r="D65" t="s">
        <v>17</v>
      </c>
      <c r="E65" s="1">
        <v>45202.604166666664</v>
      </c>
      <c r="F65" t="str">
        <f>VLOOKUP(C65,Продукт!$C$2:$D$568,2,0)</f>
        <v>Jazz</v>
      </c>
      <c r="G65" s="2">
        <f t="shared" si="0"/>
        <v>24.999999997671694</v>
      </c>
    </row>
    <row r="66" spans="1:7">
      <c r="A66" t="s">
        <v>9</v>
      </c>
      <c r="B66" t="s">
        <v>24</v>
      </c>
      <c r="C66" s="1">
        <v>45202.591666666667</v>
      </c>
      <c r="D66" t="s">
        <v>17</v>
      </c>
      <c r="E66" s="1">
        <v>45202.634027777778</v>
      </c>
      <c r="F66" t="str">
        <f>VLOOKUP(C66,Продукт!$C$2:$D$568,2,0)</f>
        <v>Jazz</v>
      </c>
      <c r="G66" s="2">
        <f t="shared" si="0"/>
        <v>60.999999999767169</v>
      </c>
    </row>
    <row r="67" spans="1:7">
      <c r="A67" t="s">
        <v>5</v>
      </c>
      <c r="B67" t="s">
        <v>25</v>
      </c>
      <c r="C67" s="1">
        <v>45202.611805555556</v>
      </c>
      <c r="D67" t="s">
        <v>17</v>
      </c>
      <c r="E67" s="1">
        <v>45202.65347222222</v>
      </c>
      <c r="F67" t="str">
        <f>VLOOKUP(C67,Продукт!$C$2:$D$568,2,0)</f>
        <v>Jazz</v>
      </c>
      <c r="G67" s="2">
        <f t="shared" ref="G67:G130" si="1">(E67-C67)*60*24</f>
        <v>59.99999999650754</v>
      </c>
    </row>
    <row r="68" spans="1:7">
      <c r="A68" t="s">
        <v>7</v>
      </c>
      <c r="B68" t="s">
        <v>25</v>
      </c>
      <c r="C68" s="1">
        <v>45202.636805555558</v>
      </c>
      <c r="D68" t="s">
        <v>17</v>
      </c>
      <c r="E68" s="1">
        <v>45202.661111111112</v>
      </c>
      <c r="F68" t="str">
        <f>VLOOKUP(C68,Продукт!$C$2:$D$568,2,0)</f>
        <v>SaluteSpeech</v>
      </c>
      <c r="G68" s="2">
        <f t="shared" si="1"/>
        <v>34.999999998835847</v>
      </c>
    </row>
    <row r="69" spans="1:7">
      <c r="A69" t="s">
        <v>9</v>
      </c>
      <c r="B69" t="s">
        <v>25</v>
      </c>
      <c r="C69" s="1">
        <v>45202.651388888888</v>
      </c>
      <c r="D69" t="s">
        <v>17</v>
      </c>
      <c r="E69" s="1">
        <v>45202.686805555553</v>
      </c>
      <c r="F69" t="str">
        <f>VLOOKUP(C69,Продукт!$C$2:$D$568,2,0)</f>
        <v>Jazz</v>
      </c>
      <c r="G69" s="2">
        <f t="shared" si="1"/>
        <v>50.999999998603016</v>
      </c>
    </row>
    <row r="70" spans="1:7">
      <c r="A70" t="s">
        <v>3</v>
      </c>
      <c r="B70" t="s">
        <v>25</v>
      </c>
      <c r="C70" s="1">
        <v>45202.65347222222</v>
      </c>
      <c r="D70" t="s">
        <v>17</v>
      </c>
      <c r="E70" s="1">
        <v>45202.658333333333</v>
      </c>
      <c r="F70" t="str">
        <f>VLOOKUP(C70,Продукт!$C$2:$D$568,2,0)</f>
        <v>SaluteBot</v>
      </c>
      <c r="G70" s="2">
        <f t="shared" si="1"/>
        <v>7.0000000018626451</v>
      </c>
    </row>
    <row r="71" spans="1:7">
      <c r="A71" t="s">
        <v>11</v>
      </c>
      <c r="B71" t="s">
        <v>24</v>
      </c>
      <c r="C71" s="1">
        <v>45202.703472222223</v>
      </c>
      <c r="D71" t="s">
        <v>17</v>
      </c>
      <c r="E71" s="1">
        <v>45202.730555555558</v>
      </c>
      <c r="F71" t="str">
        <f>VLOOKUP(C71,Продукт!$C$2:$D$568,2,0)</f>
        <v>Jazz</v>
      </c>
      <c r="G71" s="2">
        <f t="shared" si="1"/>
        <v>39.000000001396984</v>
      </c>
    </row>
    <row r="72" spans="1:7">
      <c r="A72" t="s">
        <v>11</v>
      </c>
      <c r="B72" t="s">
        <v>25</v>
      </c>
      <c r="C72" s="1">
        <v>45202.705555555556</v>
      </c>
      <c r="D72" t="s">
        <v>17</v>
      </c>
      <c r="E72" s="1">
        <v>45202.777777777781</v>
      </c>
      <c r="F72" t="str">
        <f>VLOOKUP(C72,Продукт!$C$2:$D$568,2,0)</f>
        <v>SaluteSpeech</v>
      </c>
      <c r="G72" s="2">
        <f t="shared" si="1"/>
        <v>104.00000000372529</v>
      </c>
    </row>
    <row r="73" spans="1:7">
      <c r="A73" t="s">
        <v>11</v>
      </c>
      <c r="B73" t="s">
        <v>24</v>
      </c>
      <c r="C73" s="1">
        <v>45202.732638888891</v>
      </c>
      <c r="D73" t="s">
        <v>17</v>
      </c>
      <c r="E73" s="1">
        <v>45202.779861111114</v>
      </c>
      <c r="F73" t="str">
        <f>VLOOKUP(C73,Продукт!$C$2:$D$568,2,0)</f>
        <v>Jazz</v>
      </c>
      <c r="G73" s="2">
        <f t="shared" si="1"/>
        <v>68.000000001629815</v>
      </c>
    </row>
    <row r="74" spans="1:7">
      <c r="A74" t="s">
        <v>6</v>
      </c>
      <c r="B74" t="s">
        <v>24</v>
      </c>
      <c r="C74" s="1">
        <v>45202.739583333336</v>
      </c>
      <c r="D74" t="s">
        <v>17</v>
      </c>
      <c r="E74" s="1">
        <v>45202.783333333333</v>
      </c>
      <c r="F74" t="str">
        <f>VLOOKUP(C74,Продукт!$C$2:$D$568,2,0)</f>
        <v>SaluteSpeech</v>
      </c>
      <c r="G74" s="2">
        <f t="shared" si="1"/>
        <v>62.999999995809048</v>
      </c>
    </row>
    <row r="75" spans="1:7">
      <c r="A75" t="s">
        <v>7</v>
      </c>
      <c r="B75" t="s">
        <v>24</v>
      </c>
      <c r="C75" s="1">
        <v>45202.770833333336</v>
      </c>
      <c r="D75" t="s">
        <v>17</v>
      </c>
      <c r="E75" s="1">
        <v>45202.795138888891</v>
      </c>
      <c r="F75" t="str">
        <f>VLOOKUP(C75,Продукт!$C$2:$D$568,2,0)</f>
        <v>SaluteSpeech</v>
      </c>
      <c r="G75" s="2">
        <f t="shared" si="1"/>
        <v>34.999999998835847</v>
      </c>
    </row>
    <row r="76" spans="1:7">
      <c r="A76" t="s">
        <v>9</v>
      </c>
      <c r="B76" t="s">
        <v>25</v>
      </c>
      <c r="C76" s="1">
        <v>45202.789583333331</v>
      </c>
      <c r="D76" t="s">
        <v>17</v>
      </c>
      <c r="E76" s="1">
        <v>45202.793749999997</v>
      </c>
      <c r="F76" t="str">
        <f>VLOOKUP(C76,Продукт!$C$2:$D$568,2,0)</f>
        <v>Jazz</v>
      </c>
      <c r="G76" s="2">
        <f t="shared" si="1"/>
        <v>5.9999999986030161</v>
      </c>
    </row>
    <row r="77" spans="1:7">
      <c r="A77" t="s">
        <v>1</v>
      </c>
      <c r="B77" t="s">
        <v>25</v>
      </c>
      <c r="C77" s="1">
        <v>45202.790972222225</v>
      </c>
      <c r="D77" t="s">
        <v>17</v>
      </c>
      <c r="E77" s="1">
        <v>45202.793749999997</v>
      </c>
      <c r="F77" t="str">
        <f>VLOOKUP(C77,Продукт!$C$2:$D$568,2,0)</f>
        <v>Jazz</v>
      </c>
      <c r="G77" s="2">
        <f t="shared" si="1"/>
        <v>3.9999999920837581</v>
      </c>
    </row>
    <row r="78" spans="1:7">
      <c r="A78" t="s">
        <v>10</v>
      </c>
      <c r="B78" t="s">
        <v>25</v>
      </c>
      <c r="C78" s="1">
        <v>45202.84375</v>
      </c>
      <c r="D78" t="s">
        <v>17</v>
      </c>
      <c r="E78" s="1">
        <v>45203.54791666667</v>
      </c>
      <c r="F78" t="str">
        <f>VLOOKUP(C78,Продукт!$C$2:$D$568,2,0)</f>
        <v>Jazz</v>
      </c>
      <c r="G78" s="2">
        <f t="shared" si="1"/>
        <v>1014.0000000048894</v>
      </c>
    </row>
    <row r="79" spans="1:7">
      <c r="A79" t="s">
        <v>5</v>
      </c>
      <c r="B79" t="s">
        <v>25</v>
      </c>
      <c r="C79" s="1">
        <v>45202.87777777778</v>
      </c>
      <c r="D79" t="s">
        <v>17</v>
      </c>
      <c r="E79" s="1">
        <v>45203.534722222219</v>
      </c>
      <c r="F79" t="str">
        <f>VLOOKUP(C79,Продукт!$C$2:$D$568,2,0)</f>
        <v>Jazz</v>
      </c>
      <c r="G79" s="2">
        <f t="shared" si="1"/>
        <v>945.99999999278225</v>
      </c>
    </row>
    <row r="80" spans="1:7">
      <c r="A80" t="s">
        <v>5</v>
      </c>
      <c r="B80" t="s">
        <v>25</v>
      </c>
      <c r="C80" s="1">
        <v>45202.978472222225</v>
      </c>
      <c r="D80" t="s">
        <v>17</v>
      </c>
      <c r="E80" s="1">
        <v>45203.53125</v>
      </c>
      <c r="F80" t="str">
        <f>VLOOKUP(C80,Продукт!$C$2:$D$568,2,0)</f>
        <v>SaluteSpeech</v>
      </c>
      <c r="G80" s="2">
        <f t="shared" si="1"/>
        <v>795.99999999627471</v>
      </c>
    </row>
    <row r="81" spans="1:7">
      <c r="A81" t="s">
        <v>6</v>
      </c>
      <c r="B81" t="s">
        <v>24</v>
      </c>
      <c r="C81" s="1">
        <v>45203.021527777775</v>
      </c>
      <c r="D81" t="s">
        <v>17</v>
      </c>
      <c r="E81" s="1">
        <v>45203.673611111109</v>
      </c>
      <c r="F81" t="str">
        <f>VLOOKUP(C81,Продукт!$C$2:$D$568,2,0)</f>
        <v>SaluteSpeech</v>
      </c>
      <c r="G81" s="2">
        <f t="shared" si="1"/>
        <v>939.00000000139698</v>
      </c>
    </row>
    <row r="82" spans="1:7">
      <c r="A82" t="s">
        <v>5</v>
      </c>
      <c r="B82" t="s">
        <v>24</v>
      </c>
      <c r="C82" s="1">
        <v>45203.043055555558</v>
      </c>
      <c r="D82" t="s">
        <v>17</v>
      </c>
      <c r="E82" s="1">
        <v>45203.675000000003</v>
      </c>
      <c r="F82" t="str">
        <f>VLOOKUP(C82,Продукт!$C$2:$D$568,2,0)</f>
        <v>SaluteSpeech</v>
      </c>
      <c r="G82" s="2">
        <f t="shared" si="1"/>
        <v>910.00000000116415</v>
      </c>
    </row>
    <row r="83" spans="1:7">
      <c r="A83" t="s">
        <v>11</v>
      </c>
      <c r="B83" t="s">
        <v>24</v>
      </c>
      <c r="C83" s="1">
        <v>45203.049305555556</v>
      </c>
      <c r="D83" t="s">
        <v>17</v>
      </c>
      <c r="E83" s="1">
        <v>45203.55972222222</v>
      </c>
      <c r="F83" t="str">
        <f>VLOOKUP(C83,Продукт!$C$2:$D$568,2,0)</f>
        <v>SaluteBot</v>
      </c>
      <c r="G83" s="2">
        <f t="shared" si="1"/>
        <v>734.99999999650754</v>
      </c>
    </row>
    <row r="84" spans="1:7">
      <c r="A84" t="s">
        <v>10</v>
      </c>
      <c r="B84" t="s">
        <v>24</v>
      </c>
      <c r="C84" s="1">
        <v>45203.081944444442</v>
      </c>
      <c r="D84" t="s">
        <v>17</v>
      </c>
      <c r="E84" s="1">
        <v>45203.672222222223</v>
      </c>
      <c r="F84" t="str">
        <f>VLOOKUP(C84,Продукт!$C$2:$D$568,2,0)</f>
        <v>SaluteSpeech</v>
      </c>
      <c r="G84" s="2">
        <f t="shared" si="1"/>
        <v>850.00000000465661</v>
      </c>
    </row>
    <row r="85" spans="1:7">
      <c r="A85" t="s">
        <v>6</v>
      </c>
      <c r="B85" t="s">
        <v>24</v>
      </c>
      <c r="C85" s="1">
        <v>45203.238194444442</v>
      </c>
      <c r="D85" t="s">
        <v>17</v>
      </c>
      <c r="E85" s="1">
        <v>45203.765277777777</v>
      </c>
      <c r="F85" t="str">
        <f>VLOOKUP(C85,Продукт!$C$2:$D$568,2,0)</f>
        <v>SaluteSpeech</v>
      </c>
      <c r="G85" s="2">
        <f t="shared" si="1"/>
        <v>759.00000000139698</v>
      </c>
    </row>
    <row r="86" spans="1:7">
      <c r="A86" t="s">
        <v>6</v>
      </c>
      <c r="B86" t="s">
        <v>24</v>
      </c>
      <c r="C86" s="1">
        <v>45203.319444444445</v>
      </c>
      <c r="D86" t="s">
        <v>17</v>
      </c>
      <c r="E86" s="1">
        <v>45203.500694444447</v>
      </c>
      <c r="F86" t="str">
        <f>VLOOKUP(C86,Продукт!$C$2:$D$568,2,0)</f>
        <v>Jazz</v>
      </c>
      <c r="G86" s="2">
        <f t="shared" si="1"/>
        <v>261.00000000209548</v>
      </c>
    </row>
    <row r="87" spans="1:7">
      <c r="A87" t="s">
        <v>5</v>
      </c>
      <c r="B87" t="s">
        <v>25</v>
      </c>
      <c r="C87" s="1">
        <v>45203.479166666664</v>
      </c>
      <c r="D87" t="s">
        <v>17</v>
      </c>
      <c r="E87" s="1">
        <v>45203.500694444447</v>
      </c>
      <c r="F87" t="str">
        <f>VLOOKUP(C87,Продукт!$C$2:$D$568,2,0)</f>
        <v>Jazz</v>
      </c>
      <c r="G87" s="2">
        <f t="shared" si="1"/>
        <v>31.000000006752089</v>
      </c>
    </row>
    <row r="88" spans="1:7">
      <c r="A88" t="s">
        <v>9</v>
      </c>
      <c r="B88" t="s">
        <v>24</v>
      </c>
      <c r="C88" s="1">
        <v>45203.484722222223</v>
      </c>
      <c r="D88" t="s">
        <v>17</v>
      </c>
      <c r="E88" s="1">
        <v>45203.542361111111</v>
      </c>
      <c r="F88" t="str">
        <f>VLOOKUP(C88,Продукт!$C$2:$D$568,2,0)</f>
        <v>Jazz</v>
      </c>
      <c r="G88" s="2">
        <f t="shared" si="1"/>
        <v>82.999999998137355</v>
      </c>
    </row>
    <row r="89" spans="1:7">
      <c r="A89" t="s">
        <v>6</v>
      </c>
      <c r="B89" t="s">
        <v>24</v>
      </c>
      <c r="C89" s="1">
        <v>45203.50277777778</v>
      </c>
      <c r="D89" t="s">
        <v>17</v>
      </c>
      <c r="E89" s="1">
        <v>45203.545138888891</v>
      </c>
      <c r="F89" t="str">
        <f>VLOOKUP(C89,Продукт!$C$2:$D$568,2,0)</f>
        <v>SaluteSpeech</v>
      </c>
      <c r="G89" s="2">
        <f t="shared" si="1"/>
        <v>60.999999999767169</v>
      </c>
    </row>
    <row r="90" spans="1:7">
      <c r="A90" t="s">
        <v>7</v>
      </c>
      <c r="B90" t="s">
        <v>25</v>
      </c>
      <c r="C90" s="1">
        <v>45203.551388888889</v>
      </c>
      <c r="D90" t="s">
        <v>17</v>
      </c>
      <c r="E90" s="1">
        <v>45203.709027777775</v>
      </c>
      <c r="F90" t="str">
        <f>VLOOKUP(C90,Продукт!$C$2:$D$568,2,0)</f>
        <v>SaluteSpeech</v>
      </c>
      <c r="G90" s="2">
        <f t="shared" si="1"/>
        <v>226.99999999604188</v>
      </c>
    </row>
    <row r="91" spans="1:7">
      <c r="A91" t="s">
        <v>5</v>
      </c>
      <c r="B91" t="s">
        <v>25</v>
      </c>
      <c r="C91" s="1">
        <v>45203.581944444442</v>
      </c>
      <c r="D91" t="s">
        <v>17</v>
      </c>
      <c r="E91" s="1">
        <v>45203.59375</v>
      </c>
      <c r="F91" t="str">
        <f>VLOOKUP(C91,Продукт!$C$2:$D$568,2,0)</f>
        <v>Jazz</v>
      </c>
      <c r="G91" s="2">
        <f t="shared" si="1"/>
        <v>17.000000003026798</v>
      </c>
    </row>
    <row r="92" spans="1:7">
      <c r="A92" t="s">
        <v>9</v>
      </c>
      <c r="B92" t="s">
        <v>24</v>
      </c>
      <c r="C92" s="1">
        <v>45203.626388888886</v>
      </c>
      <c r="D92" t="s">
        <v>17</v>
      </c>
      <c r="E92" s="1">
        <v>45203.646527777775</v>
      </c>
      <c r="F92" t="str">
        <f>VLOOKUP(C92,Продукт!$C$2:$D$568,2,0)</f>
        <v>Jazz</v>
      </c>
      <c r="G92" s="2">
        <f t="shared" si="1"/>
        <v>29.000000000232831</v>
      </c>
    </row>
    <row r="93" spans="1:7">
      <c r="A93" t="s">
        <v>9</v>
      </c>
      <c r="B93" t="s">
        <v>24</v>
      </c>
      <c r="C93" s="1">
        <v>45203.626388888886</v>
      </c>
      <c r="D93" t="s">
        <v>17</v>
      </c>
      <c r="E93" s="1">
        <v>45203.648611111108</v>
      </c>
      <c r="F93" t="str">
        <f>VLOOKUP(C93,Продукт!$C$2:$D$568,2,0)</f>
        <v>Jazz</v>
      </c>
      <c r="G93" s="2">
        <f t="shared" si="1"/>
        <v>31.999999999534339</v>
      </c>
    </row>
    <row r="94" spans="1:7">
      <c r="A94" t="s">
        <v>5</v>
      </c>
      <c r="B94" t="s">
        <v>24</v>
      </c>
      <c r="C94" s="1">
        <v>45203.628472222219</v>
      </c>
      <c r="D94" t="s">
        <v>17</v>
      </c>
      <c r="E94" s="1">
        <v>45203.688194444447</v>
      </c>
      <c r="F94" t="str">
        <f>VLOOKUP(C94,Продукт!$C$2:$D$568,2,0)</f>
        <v>Jazz</v>
      </c>
      <c r="G94" s="2">
        <f t="shared" si="1"/>
        <v>86.000000007916242</v>
      </c>
    </row>
    <row r="95" spans="1:7">
      <c r="A95" t="s">
        <v>10</v>
      </c>
      <c r="B95" t="s">
        <v>24</v>
      </c>
      <c r="C95" s="1">
        <v>45203.693055555559</v>
      </c>
      <c r="D95" t="s">
        <v>17</v>
      </c>
      <c r="E95" s="1">
        <v>45203.756249999999</v>
      </c>
      <c r="F95" t="str">
        <f>VLOOKUP(C95,Продукт!$C$2:$D$568,2,0)</f>
        <v>Jazz</v>
      </c>
      <c r="G95" s="2">
        <f t="shared" si="1"/>
        <v>90.99999999278225</v>
      </c>
    </row>
    <row r="96" spans="1:7">
      <c r="A96" t="s">
        <v>10</v>
      </c>
      <c r="B96" t="s">
        <v>25</v>
      </c>
      <c r="C96" s="1">
        <v>45203.736111111109</v>
      </c>
      <c r="D96" t="s">
        <v>17</v>
      </c>
      <c r="E96" s="1">
        <v>45203.757638888892</v>
      </c>
      <c r="F96" t="str">
        <f>VLOOKUP(C96,Продукт!$C$2:$D$568,2,0)</f>
        <v>Jazz</v>
      </c>
      <c r="G96" s="2">
        <f t="shared" si="1"/>
        <v>31.000000006752089</v>
      </c>
    </row>
    <row r="97" spans="1:7">
      <c r="A97" t="s">
        <v>9</v>
      </c>
      <c r="B97" t="s">
        <v>24</v>
      </c>
      <c r="C97" s="1">
        <v>45203.751388888886</v>
      </c>
      <c r="D97" t="s">
        <v>17</v>
      </c>
      <c r="E97" s="1">
        <v>45203.788194444445</v>
      </c>
      <c r="F97" t="str">
        <f>VLOOKUP(C97,Продукт!$C$2:$D$568,2,0)</f>
        <v>Jazz</v>
      </c>
      <c r="G97" s="2">
        <f t="shared" si="1"/>
        <v>53.000000005122274</v>
      </c>
    </row>
    <row r="98" spans="1:7">
      <c r="A98" t="s">
        <v>10</v>
      </c>
      <c r="B98" t="s">
        <v>25</v>
      </c>
      <c r="C98" s="1">
        <v>45203.752083333333</v>
      </c>
      <c r="D98" t="s">
        <v>17</v>
      </c>
      <c r="E98" s="1">
        <v>45203.77847222222</v>
      </c>
      <c r="F98" t="str">
        <f>VLOOKUP(C98,Продукт!$C$2:$D$568,2,0)</f>
        <v>Jazz</v>
      </c>
      <c r="G98" s="2">
        <f t="shared" si="1"/>
        <v>37.999999998137355</v>
      </c>
    </row>
    <row r="99" spans="1:7">
      <c r="A99" t="s">
        <v>11</v>
      </c>
      <c r="B99" t="s">
        <v>24</v>
      </c>
      <c r="C99" s="1">
        <v>45203.455555555556</v>
      </c>
      <c r="D99" t="s">
        <v>17</v>
      </c>
      <c r="E99" s="1">
        <v>45203.59375</v>
      </c>
      <c r="F99" t="str">
        <f>VLOOKUP(C99,Продукт!$C$2:$D$568,2,0)</f>
        <v>SaluteSpeech</v>
      </c>
      <c r="G99" s="2">
        <f t="shared" si="1"/>
        <v>198.99999999906868</v>
      </c>
    </row>
    <row r="100" spans="1:7">
      <c r="A100" t="s">
        <v>7</v>
      </c>
      <c r="B100" t="s">
        <v>25</v>
      </c>
      <c r="C100" s="1">
        <v>45203.455555555556</v>
      </c>
      <c r="D100" t="s">
        <v>17</v>
      </c>
      <c r="E100" s="1">
        <v>45203.500694444447</v>
      </c>
      <c r="F100" t="str">
        <f>VLOOKUP(C100,Продукт!$C$2:$D$568,2,0)</f>
        <v>SaluteSpeech</v>
      </c>
      <c r="G100" s="2">
        <f t="shared" si="1"/>
        <v>65.000000002328306</v>
      </c>
    </row>
    <row r="101" spans="1:7">
      <c r="A101" t="s">
        <v>6</v>
      </c>
      <c r="B101" t="s">
        <v>24</v>
      </c>
      <c r="C101" s="1">
        <v>45203.777777777781</v>
      </c>
      <c r="D101" t="s">
        <v>17</v>
      </c>
      <c r="E101" s="1">
        <v>45203.790277777778</v>
      </c>
      <c r="F101" t="str">
        <f>VLOOKUP(C101,Продукт!$C$2:$D$568,2,0)</f>
        <v>SaluteBot</v>
      </c>
      <c r="G101" s="2">
        <f t="shared" si="1"/>
        <v>17.999999995809048</v>
      </c>
    </row>
    <row r="102" spans="1:7">
      <c r="A102" t="s">
        <v>10</v>
      </c>
      <c r="B102" t="s">
        <v>24</v>
      </c>
      <c r="C102" s="1">
        <v>45203.818749999999</v>
      </c>
      <c r="D102" t="s">
        <v>17</v>
      </c>
      <c r="E102" s="1">
        <v>45204.534722222219</v>
      </c>
      <c r="F102" t="str">
        <f>VLOOKUP(C102,Продукт!$C$2:$D$568,2,0)</f>
        <v>Jazz</v>
      </c>
      <c r="G102" s="2">
        <f t="shared" si="1"/>
        <v>1030.9999999974389</v>
      </c>
    </row>
    <row r="103" spans="1:7">
      <c r="A103" t="s">
        <v>5</v>
      </c>
      <c r="B103" t="s">
        <v>25</v>
      </c>
      <c r="C103" s="1">
        <v>45203.842361111114</v>
      </c>
      <c r="D103" t="s">
        <v>17</v>
      </c>
      <c r="E103" s="1">
        <v>45204.743750000001</v>
      </c>
      <c r="F103" t="str">
        <f>VLOOKUP(C103,Продукт!$C$2:$D$568,2,0)</f>
        <v>SaluteSpeech</v>
      </c>
      <c r="G103" s="2">
        <f t="shared" si="1"/>
        <v>1297.9999999981374</v>
      </c>
    </row>
    <row r="104" spans="1:7">
      <c r="A104" t="s">
        <v>5</v>
      </c>
      <c r="B104" t="s">
        <v>24</v>
      </c>
      <c r="C104" s="1">
        <v>45203.856944444444</v>
      </c>
      <c r="D104" t="s">
        <v>17</v>
      </c>
      <c r="E104" s="1">
        <v>45204.550694444442</v>
      </c>
      <c r="F104" t="str">
        <f>VLOOKUP(C104,Продукт!$C$2:$D$568,2,0)</f>
        <v>Jazz</v>
      </c>
      <c r="G104" s="2">
        <f t="shared" si="1"/>
        <v>998.99999999790452</v>
      </c>
    </row>
    <row r="105" spans="1:7">
      <c r="A105" t="s">
        <v>5</v>
      </c>
      <c r="B105" t="s">
        <v>24</v>
      </c>
      <c r="C105" s="1">
        <v>45203.88958333333</v>
      </c>
      <c r="D105" t="s">
        <v>17</v>
      </c>
      <c r="E105" s="1">
        <v>45204.594444444447</v>
      </c>
      <c r="F105" t="str">
        <f>VLOOKUP(C105,Продукт!$C$2:$D$568,2,0)</f>
        <v>SaluteBot</v>
      </c>
      <c r="G105" s="2">
        <f t="shared" si="1"/>
        <v>1015.0000000081491</v>
      </c>
    </row>
    <row r="106" spans="1:7">
      <c r="A106" t="s">
        <v>9</v>
      </c>
      <c r="B106" t="s">
        <v>24</v>
      </c>
      <c r="C106" s="1">
        <v>45203.907638888886</v>
      </c>
      <c r="D106" t="s">
        <v>17</v>
      </c>
      <c r="E106" s="1">
        <v>45204.584027777775</v>
      </c>
      <c r="F106" t="str">
        <f>VLOOKUP(C106,Продукт!$C$2:$D$568,2,0)</f>
        <v>SaluteSpeech</v>
      </c>
      <c r="G106" s="2">
        <f t="shared" si="1"/>
        <v>974.00000000023283</v>
      </c>
    </row>
    <row r="107" spans="1:7">
      <c r="A107" t="s">
        <v>11</v>
      </c>
      <c r="B107" t="s">
        <v>25</v>
      </c>
      <c r="C107" s="1">
        <v>45203.919444444444</v>
      </c>
      <c r="D107" t="s">
        <v>17</v>
      </c>
      <c r="E107" s="1">
        <v>45204.749305555553</v>
      </c>
      <c r="F107" t="str">
        <f>VLOOKUP(C107,Продукт!$C$2:$D$568,2,0)</f>
        <v>SaluteSpeech</v>
      </c>
      <c r="G107" s="2">
        <f t="shared" si="1"/>
        <v>1194.9999999976717</v>
      </c>
    </row>
    <row r="108" spans="1:7">
      <c r="A108" t="s">
        <v>5</v>
      </c>
      <c r="B108" t="s">
        <v>25</v>
      </c>
      <c r="C108" s="1">
        <v>45203.923611111109</v>
      </c>
      <c r="D108" t="s">
        <v>17</v>
      </c>
      <c r="E108" s="1">
        <v>45204.751388888886</v>
      </c>
      <c r="F108" t="str">
        <f>VLOOKUP(C108,Продукт!$C$2:$D$568,2,0)</f>
        <v>SaluteBot</v>
      </c>
      <c r="G108" s="2">
        <f t="shared" si="1"/>
        <v>1191.9999999983702</v>
      </c>
    </row>
    <row r="109" spans="1:7">
      <c r="A109" t="s">
        <v>5</v>
      </c>
      <c r="B109" t="s">
        <v>25</v>
      </c>
      <c r="C109" s="1">
        <v>45203.993055555555</v>
      </c>
      <c r="D109" t="s">
        <v>17</v>
      </c>
      <c r="E109" s="1">
        <v>45204.75277777778</v>
      </c>
      <c r="F109" t="str">
        <f>VLOOKUP(C109,Продукт!$C$2:$D$568,2,0)</f>
        <v>SaluteBot</v>
      </c>
      <c r="G109" s="2">
        <f t="shared" si="1"/>
        <v>1094.0000000037253</v>
      </c>
    </row>
    <row r="110" spans="1:7">
      <c r="A110" t="s">
        <v>3</v>
      </c>
      <c r="B110" t="s">
        <v>25</v>
      </c>
      <c r="C110" s="1">
        <v>45204.011111111111</v>
      </c>
      <c r="D110" t="s">
        <v>17</v>
      </c>
      <c r="E110" s="1">
        <v>45204.761111111111</v>
      </c>
      <c r="F110" t="str">
        <f>VLOOKUP(C110,Продукт!$C$2:$D$568,2,0)</f>
        <v>SaluteBot</v>
      </c>
      <c r="G110" s="2">
        <f t="shared" si="1"/>
        <v>1080</v>
      </c>
    </row>
    <row r="111" spans="1:7">
      <c r="A111" t="s">
        <v>9</v>
      </c>
      <c r="B111" t="s">
        <v>25</v>
      </c>
      <c r="C111" s="1">
        <v>45204.022916666669</v>
      </c>
      <c r="D111" t="s">
        <v>17</v>
      </c>
      <c r="E111" s="1">
        <v>45204.753472222219</v>
      </c>
      <c r="F111" t="str">
        <f>VLOOKUP(C111,Продукт!$C$2:$D$568,2,0)</f>
        <v>Jazz</v>
      </c>
      <c r="G111" s="2">
        <f t="shared" si="1"/>
        <v>1051.9999999925494</v>
      </c>
    </row>
    <row r="112" spans="1:7">
      <c r="A112" t="s">
        <v>9</v>
      </c>
      <c r="B112" t="s">
        <v>25</v>
      </c>
      <c r="C112" s="1">
        <v>45204.036805555559</v>
      </c>
      <c r="D112" t="s">
        <v>17</v>
      </c>
      <c r="E112" s="1">
        <v>45204.786111111112</v>
      </c>
      <c r="F112" t="str">
        <f>VLOOKUP(C112,Продукт!$C$2:$D$568,2,0)</f>
        <v>SaluteBot</v>
      </c>
      <c r="G112" s="2">
        <f t="shared" si="1"/>
        <v>1078.9999999967404</v>
      </c>
    </row>
    <row r="113" spans="1:7">
      <c r="A113" t="s">
        <v>7</v>
      </c>
      <c r="B113" t="s">
        <v>24</v>
      </c>
      <c r="C113" s="1">
        <v>45204.038888888892</v>
      </c>
      <c r="D113" t="s">
        <v>17</v>
      </c>
      <c r="E113" s="1">
        <v>45204.785416666666</v>
      </c>
      <c r="F113" t="str">
        <f>VLOOKUP(C113,Продукт!$C$2:$D$568,2,0)</f>
        <v>Jazz</v>
      </c>
      <c r="G113" s="2">
        <f t="shared" si="1"/>
        <v>1074.9999999941792</v>
      </c>
    </row>
    <row r="114" spans="1:7">
      <c r="A114" t="s">
        <v>5</v>
      </c>
      <c r="B114" t="s">
        <v>24</v>
      </c>
      <c r="C114" s="1">
        <v>45204.06527777778</v>
      </c>
      <c r="D114" t="s">
        <v>17</v>
      </c>
      <c r="E114" s="1">
        <v>45204.788888888892</v>
      </c>
      <c r="F114" t="str">
        <f>VLOOKUP(C114,Продукт!$C$2:$D$568,2,0)</f>
        <v>Jazz</v>
      </c>
      <c r="G114" s="2">
        <f t="shared" si="1"/>
        <v>1042.0000000018626</v>
      </c>
    </row>
    <row r="115" spans="1:7">
      <c r="A115" t="s">
        <v>11</v>
      </c>
      <c r="B115" t="s">
        <v>25</v>
      </c>
      <c r="C115" s="1">
        <v>45204.079861111109</v>
      </c>
      <c r="D115" t="s">
        <v>17</v>
      </c>
      <c r="E115" s="1">
        <v>45204.763888888891</v>
      </c>
      <c r="F115" t="str">
        <f>VLOOKUP(C115,Продукт!$C$2:$D$568,2,0)</f>
        <v>SaluteBot</v>
      </c>
      <c r="G115" s="2">
        <f t="shared" si="1"/>
        <v>985.00000000465661</v>
      </c>
    </row>
    <row r="116" spans="1:7">
      <c r="A116" t="s">
        <v>9</v>
      </c>
      <c r="B116" t="s">
        <v>25</v>
      </c>
      <c r="C116" s="1">
        <v>45204.115972222222</v>
      </c>
      <c r="D116" t="s">
        <v>17</v>
      </c>
      <c r="E116" s="1">
        <v>45204.756944444445</v>
      </c>
      <c r="F116" t="str">
        <f>VLOOKUP(C116,Продукт!$C$2:$D$568,2,0)</f>
        <v>Jazz</v>
      </c>
      <c r="G116" s="2">
        <f t="shared" si="1"/>
        <v>923.00000000162981</v>
      </c>
    </row>
    <row r="117" spans="1:7">
      <c r="A117" t="s">
        <v>9</v>
      </c>
      <c r="B117" t="s">
        <v>25</v>
      </c>
      <c r="C117" s="1">
        <v>45204.436805555553</v>
      </c>
      <c r="D117" t="s">
        <v>17</v>
      </c>
      <c r="E117" s="1">
        <v>45204.500694444447</v>
      </c>
      <c r="F117" t="str">
        <f>VLOOKUP(C117,Продукт!$C$2:$D$568,2,0)</f>
        <v>Jazz</v>
      </c>
      <c r="G117" s="2">
        <f t="shared" si="1"/>
        <v>92.000000006519258</v>
      </c>
    </row>
    <row r="118" spans="1:7">
      <c r="A118" t="s">
        <v>11</v>
      </c>
      <c r="B118" t="s">
        <v>25</v>
      </c>
      <c r="C118" s="1">
        <v>45204.438888888886</v>
      </c>
      <c r="D118" t="s">
        <v>17</v>
      </c>
      <c r="E118" s="1">
        <v>45204.500694444447</v>
      </c>
      <c r="F118" t="str">
        <f>VLOOKUP(C118,Продукт!$C$2:$D$568,2,0)</f>
        <v>Jazz</v>
      </c>
      <c r="G118" s="2">
        <f t="shared" si="1"/>
        <v>89.00000000721775</v>
      </c>
    </row>
    <row r="119" spans="1:7">
      <c r="A119" t="s">
        <v>5</v>
      </c>
      <c r="B119" t="s">
        <v>24</v>
      </c>
      <c r="C119" s="1">
        <v>45204.470138888886</v>
      </c>
      <c r="D119" t="s">
        <v>17</v>
      </c>
      <c r="E119" s="1">
        <v>45204.693055555559</v>
      </c>
      <c r="F119" t="str">
        <f>VLOOKUP(C119,Продукт!$C$2:$D$568,2,0)</f>
        <v>SaluteBot</v>
      </c>
      <c r="G119" s="2">
        <f t="shared" si="1"/>
        <v>321.0000000090804</v>
      </c>
    </row>
    <row r="120" spans="1:7">
      <c r="A120" t="s">
        <v>9</v>
      </c>
      <c r="B120" t="s">
        <v>24</v>
      </c>
      <c r="C120" s="1">
        <v>45204.497916666667</v>
      </c>
      <c r="D120" t="s">
        <v>17</v>
      </c>
      <c r="E120" s="1">
        <v>45204.526388888888</v>
      </c>
      <c r="F120" t="str">
        <f>VLOOKUP(C120,Продукт!$C$2:$D$568,2,0)</f>
        <v>Jazz</v>
      </c>
      <c r="G120" s="2">
        <f t="shared" si="1"/>
        <v>40.999999997438863</v>
      </c>
    </row>
    <row r="121" spans="1:7">
      <c r="A121" t="s">
        <v>9</v>
      </c>
      <c r="B121" t="s">
        <v>24</v>
      </c>
      <c r="C121" s="1">
        <v>45204.499305555553</v>
      </c>
      <c r="D121" t="s">
        <v>17</v>
      </c>
      <c r="E121" s="1">
        <v>45204.52847222222</v>
      </c>
      <c r="F121" t="str">
        <f>VLOOKUP(C121,Продукт!$C$2:$D$568,2,0)</f>
        <v>Jazz</v>
      </c>
      <c r="G121" s="2">
        <f t="shared" si="1"/>
        <v>42.000000000698492</v>
      </c>
    </row>
    <row r="122" spans="1:7">
      <c r="A122" t="s">
        <v>5</v>
      </c>
      <c r="B122" t="s">
        <v>24</v>
      </c>
      <c r="C122" s="1">
        <v>45204.508333333331</v>
      </c>
      <c r="D122" t="s">
        <v>17</v>
      </c>
      <c r="E122" s="1">
        <v>45204.527083333334</v>
      </c>
      <c r="F122" t="str">
        <f>VLOOKUP(C122,Продукт!$C$2:$D$568,2,0)</f>
        <v>Jazz</v>
      </c>
      <c r="G122" s="2">
        <f t="shared" si="1"/>
        <v>27.000000004190952</v>
      </c>
    </row>
    <row r="123" spans="1:7">
      <c r="A123" t="s">
        <v>9</v>
      </c>
      <c r="B123" t="s">
        <v>24</v>
      </c>
      <c r="C123" s="1">
        <v>45204.509722222225</v>
      </c>
      <c r="D123" t="s">
        <v>17</v>
      </c>
      <c r="E123" s="1">
        <v>45204.525694444441</v>
      </c>
      <c r="F123" t="str">
        <f>VLOOKUP(C123,Продукт!$C$2:$D$568,2,0)</f>
        <v>Jazz</v>
      </c>
      <c r="G123" s="2">
        <f t="shared" si="1"/>
        <v>22.999999991152436</v>
      </c>
    </row>
    <row r="124" spans="1:7">
      <c r="A124" t="s">
        <v>5</v>
      </c>
      <c r="B124" t="s">
        <v>24</v>
      </c>
      <c r="C124" s="1">
        <v>45204.520833333336</v>
      </c>
      <c r="D124" t="s">
        <v>17</v>
      </c>
      <c r="E124" s="1">
        <v>45204.524305555555</v>
      </c>
      <c r="F124" t="str">
        <f>VLOOKUP(C124,Продукт!$C$2:$D$568,2,0)</f>
        <v>Jazz</v>
      </c>
      <c r="G124" s="2">
        <f t="shared" si="1"/>
        <v>4.9999999953433871</v>
      </c>
    </row>
    <row r="125" spans="1:7">
      <c r="A125" t="s">
        <v>6</v>
      </c>
      <c r="B125" t="s">
        <v>25</v>
      </c>
      <c r="C125" s="1">
        <v>45204.572222222225</v>
      </c>
      <c r="D125" t="s">
        <v>17</v>
      </c>
      <c r="E125" s="1">
        <v>45204.618055555555</v>
      </c>
      <c r="F125" t="str">
        <f>VLOOKUP(C125,Продукт!$C$2:$D$568,2,0)</f>
        <v>Jazz</v>
      </c>
      <c r="G125" s="2">
        <f t="shared" si="1"/>
        <v>65.999999995110556</v>
      </c>
    </row>
    <row r="126" spans="1:7">
      <c r="A126" t="s">
        <v>7</v>
      </c>
      <c r="B126" t="s">
        <v>24</v>
      </c>
      <c r="C126" s="1">
        <v>45204.575694444444</v>
      </c>
      <c r="D126" t="s">
        <v>17</v>
      </c>
      <c r="E126" s="1">
        <v>45204.752083333333</v>
      </c>
      <c r="F126" t="str">
        <f>VLOOKUP(C126,Продукт!$C$2:$D$568,2,0)</f>
        <v>Jazz</v>
      </c>
      <c r="G126" s="2">
        <f t="shared" si="1"/>
        <v>254.00000000023283</v>
      </c>
    </row>
    <row r="127" spans="1:7">
      <c r="A127" t="s">
        <v>9</v>
      </c>
      <c r="B127" t="s">
        <v>25</v>
      </c>
      <c r="C127" s="1">
        <v>45204.611111111109</v>
      </c>
      <c r="D127" t="s">
        <v>17</v>
      </c>
      <c r="E127" s="1">
        <v>45204.62222222222</v>
      </c>
      <c r="F127" t="str">
        <f>VLOOKUP(C127,Продукт!$C$2:$D$568,2,0)</f>
        <v>Jazz</v>
      </c>
      <c r="G127" s="2">
        <f t="shared" si="1"/>
        <v>15.999999999767169</v>
      </c>
    </row>
    <row r="128" spans="1:7">
      <c r="A128" t="s">
        <v>7</v>
      </c>
      <c r="B128" t="s">
        <v>24</v>
      </c>
      <c r="C128" s="1">
        <v>45204.612500000003</v>
      </c>
      <c r="D128" t="s">
        <v>17</v>
      </c>
      <c r="E128" s="1">
        <v>45204.775000000001</v>
      </c>
      <c r="F128" t="str">
        <f>VLOOKUP(C128,Продукт!$C$2:$D$568,2,0)</f>
        <v>Jazz</v>
      </c>
      <c r="G128" s="2">
        <f t="shared" si="1"/>
        <v>233.99999999790452</v>
      </c>
    </row>
    <row r="129" spans="1:7">
      <c r="A129" t="s">
        <v>5</v>
      </c>
      <c r="B129" t="s">
        <v>25</v>
      </c>
      <c r="C129" s="1">
        <v>45204.618055555555</v>
      </c>
      <c r="D129" t="s">
        <v>17</v>
      </c>
      <c r="E129" s="1">
        <v>45204.621527777781</v>
      </c>
      <c r="F129" t="str">
        <f>VLOOKUP(C129,Продукт!$C$2:$D$568,2,0)</f>
        <v>Jazz</v>
      </c>
      <c r="G129" s="2">
        <f t="shared" si="1"/>
        <v>5.0000000058207661</v>
      </c>
    </row>
    <row r="130" spans="1:7">
      <c r="A130" t="s">
        <v>5</v>
      </c>
      <c r="B130" t="s">
        <v>25</v>
      </c>
      <c r="C130" s="1">
        <v>45204.625</v>
      </c>
      <c r="D130" t="s">
        <v>17</v>
      </c>
      <c r="E130" s="1">
        <v>45204.783333333333</v>
      </c>
      <c r="F130" t="str">
        <f>VLOOKUP(C130,Продукт!$C$2:$D$568,2,0)</f>
        <v>Jazz</v>
      </c>
      <c r="G130" s="2">
        <f t="shared" si="1"/>
        <v>227.99999999930151</v>
      </c>
    </row>
    <row r="131" spans="1:7">
      <c r="A131" t="s">
        <v>11</v>
      </c>
      <c r="B131" t="s">
        <v>25</v>
      </c>
      <c r="C131" s="1">
        <v>45204.625</v>
      </c>
      <c r="D131" t="s">
        <v>17</v>
      </c>
      <c r="E131" s="1">
        <v>45204.765972222223</v>
      </c>
      <c r="F131" t="str">
        <f>VLOOKUP(C131,Продукт!$C$2:$D$568,2,0)</f>
        <v>Jazz</v>
      </c>
      <c r="G131" s="2">
        <f t="shared" ref="G131:G194" si="2">(E131-C131)*60*24</f>
        <v>203.00000000162981</v>
      </c>
    </row>
    <row r="132" spans="1:7">
      <c r="A132" t="s">
        <v>11</v>
      </c>
      <c r="B132" t="s">
        <v>25</v>
      </c>
      <c r="C132" s="1">
        <v>45204.63958333333</v>
      </c>
      <c r="D132" t="s">
        <v>17</v>
      </c>
      <c r="E132" s="1">
        <v>45204.759722222225</v>
      </c>
      <c r="F132" t="str">
        <f>VLOOKUP(C132,Продукт!$C$2:$D$568,2,0)</f>
        <v>Jazz</v>
      </c>
      <c r="G132" s="2">
        <f t="shared" si="2"/>
        <v>173.00000000861473</v>
      </c>
    </row>
    <row r="133" spans="1:7">
      <c r="A133" t="s">
        <v>10</v>
      </c>
      <c r="B133" t="s">
        <v>25</v>
      </c>
      <c r="C133" s="1">
        <v>45204.647222222222</v>
      </c>
      <c r="D133" t="s">
        <v>17</v>
      </c>
      <c r="E133" s="1">
        <v>45204.707638888889</v>
      </c>
      <c r="F133" t="str">
        <f>VLOOKUP(C133,Продукт!$C$2:$D$568,2,0)</f>
        <v>Jazz</v>
      </c>
      <c r="G133" s="2">
        <f t="shared" si="2"/>
        <v>87.000000000698492</v>
      </c>
    </row>
    <row r="134" spans="1:7">
      <c r="A134" t="s">
        <v>5</v>
      </c>
      <c r="B134" t="s">
        <v>25</v>
      </c>
      <c r="C134" s="1">
        <v>45204.65</v>
      </c>
      <c r="D134" t="s">
        <v>17</v>
      </c>
      <c r="E134" s="1">
        <v>45204.690972222219</v>
      </c>
      <c r="F134" t="str">
        <f>VLOOKUP(C134,Продукт!$C$2:$D$568,2,0)</f>
        <v>Jazz</v>
      </c>
      <c r="G134" s="2">
        <f t="shared" si="2"/>
        <v>58.999999993247911</v>
      </c>
    </row>
    <row r="135" spans="1:7">
      <c r="A135" t="s">
        <v>10</v>
      </c>
      <c r="B135" t="s">
        <v>25</v>
      </c>
      <c r="C135" s="1">
        <v>45204.651388888888</v>
      </c>
      <c r="D135" t="s">
        <v>17</v>
      </c>
      <c r="E135" s="1">
        <v>45204.676388888889</v>
      </c>
      <c r="F135" t="str">
        <f>VLOOKUP(C135,Продукт!$C$2:$D$568,2,0)</f>
        <v>Jazz</v>
      </c>
      <c r="G135" s="2">
        <f t="shared" si="2"/>
        <v>36.000000002095476</v>
      </c>
    </row>
    <row r="136" spans="1:7">
      <c r="A136" t="s">
        <v>3</v>
      </c>
      <c r="B136" t="s">
        <v>25</v>
      </c>
      <c r="C136" s="1">
        <v>45204.707638888889</v>
      </c>
      <c r="D136" t="s">
        <v>17</v>
      </c>
      <c r="E136" s="1">
        <v>45204.787499999999</v>
      </c>
      <c r="F136" t="str">
        <f>VLOOKUP(C136,Продукт!$C$2:$D$568,2,0)</f>
        <v>SaluteBot</v>
      </c>
      <c r="G136" s="2">
        <f t="shared" si="2"/>
        <v>114.99999999767169</v>
      </c>
    </row>
    <row r="137" spans="1:7">
      <c r="A137" t="s">
        <v>5</v>
      </c>
      <c r="B137" t="s">
        <v>25</v>
      </c>
      <c r="C137" s="1">
        <v>45204.720833333333</v>
      </c>
      <c r="D137" t="s">
        <v>17</v>
      </c>
      <c r="E137" s="1">
        <v>45204.796527777777</v>
      </c>
      <c r="F137" t="str">
        <f>VLOOKUP(C137,Продукт!$C$2:$D$568,2,0)</f>
        <v>SaluteBot</v>
      </c>
      <c r="G137" s="2">
        <f t="shared" si="2"/>
        <v>108.99999999906868</v>
      </c>
    </row>
    <row r="138" spans="1:7">
      <c r="A138" t="s">
        <v>5</v>
      </c>
      <c r="B138" t="s">
        <v>25</v>
      </c>
      <c r="C138" s="1">
        <v>45204.726388888892</v>
      </c>
      <c r="D138" t="s">
        <v>17</v>
      </c>
      <c r="E138" s="1">
        <v>45204.792361111111</v>
      </c>
      <c r="F138" t="str">
        <f>VLOOKUP(C138,Продукт!$C$2:$D$568,2,0)</f>
        <v>Jazz</v>
      </c>
      <c r="G138" s="2">
        <f t="shared" si="2"/>
        <v>94.999999995343387</v>
      </c>
    </row>
    <row r="139" spans="1:7">
      <c r="A139" t="s">
        <v>5</v>
      </c>
      <c r="B139" t="s">
        <v>25</v>
      </c>
      <c r="C139" s="1">
        <v>45204.731944444444</v>
      </c>
      <c r="D139" t="s">
        <v>17</v>
      </c>
      <c r="E139" s="1">
        <v>45204.798611111109</v>
      </c>
      <c r="F139" t="str">
        <f>VLOOKUP(C139,Продукт!$C$2:$D$568,2,0)</f>
        <v>SaluteSpeech</v>
      </c>
      <c r="G139" s="2">
        <f t="shared" si="2"/>
        <v>95.999999998603016</v>
      </c>
    </row>
    <row r="140" spans="1:7">
      <c r="A140" t="s">
        <v>7</v>
      </c>
      <c r="B140" t="s">
        <v>25</v>
      </c>
      <c r="C140" s="1">
        <v>45204.787499999999</v>
      </c>
      <c r="D140" t="s">
        <v>17</v>
      </c>
      <c r="E140" s="1">
        <v>45204.789583333331</v>
      </c>
      <c r="F140" t="str">
        <f>VLOOKUP(C140,Продукт!$C$2:$D$568,2,0)</f>
        <v>SaluteSpeech</v>
      </c>
      <c r="G140" s="2">
        <f t="shared" si="2"/>
        <v>2.9999999993015081</v>
      </c>
    </row>
    <row r="141" spans="1:7">
      <c r="A141" t="s">
        <v>9</v>
      </c>
      <c r="B141" t="s">
        <v>25</v>
      </c>
      <c r="C141" s="1">
        <v>45204.799305555556</v>
      </c>
      <c r="D141" t="s">
        <v>17</v>
      </c>
      <c r="E141" s="1">
        <v>45205.504861111112</v>
      </c>
      <c r="F141" t="str">
        <f>VLOOKUP(C141,Продукт!$C$2:$D$568,2,0)</f>
        <v>SaluteSpeech</v>
      </c>
      <c r="G141" s="2">
        <f t="shared" si="2"/>
        <v>1016.0000000009313</v>
      </c>
    </row>
    <row r="142" spans="1:7">
      <c r="A142" t="s">
        <v>9</v>
      </c>
      <c r="B142" t="s">
        <v>25</v>
      </c>
      <c r="C142" s="1">
        <v>45204.836111111108</v>
      </c>
      <c r="D142" t="s">
        <v>17</v>
      </c>
      <c r="E142" s="1">
        <v>45205.507638888892</v>
      </c>
      <c r="F142" t="str">
        <f>VLOOKUP(C142,Продукт!$C$2:$D$568,2,0)</f>
        <v>SaluteBot</v>
      </c>
      <c r="G142" s="2">
        <f t="shared" si="2"/>
        <v>967.00000000884756</v>
      </c>
    </row>
    <row r="143" spans="1:7">
      <c r="A143" t="s">
        <v>5</v>
      </c>
      <c r="B143" t="s">
        <v>24</v>
      </c>
      <c r="C143" s="1">
        <v>45204.918055555558</v>
      </c>
      <c r="D143" t="s">
        <v>17</v>
      </c>
      <c r="E143" s="1">
        <v>45205.555555555555</v>
      </c>
      <c r="F143" t="str">
        <f>VLOOKUP(C143,Продукт!$C$2:$D$568,2,0)</f>
        <v>Jazz</v>
      </c>
      <c r="G143" s="2">
        <f t="shared" si="2"/>
        <v>917.99999999580905</v>
      </c>
    </row>
    <row r="144" spans="1:7">
      <c r="A144" t="s">
        <v>11</v>
      </c>
      <c r="B144" t="s">
        <v>24</v>
      </c>
      <c r="C144" s="1">
        <v>45205.46597222222</v>
      </c>
      <c r="D144" t="s">
        <v>17</v>
      </c>
      <c r="E144" s="1">
        <v>45205.507638888892</v>
      </c>
      <c r="F144" t="str">
        <f>VLOOKUP(C144,Продукт!$C$2:$D$568,2,0)</f>
        <v>SaluteSpeech</v>
      </c>
      <c r="G144" s="2">
        <f t="shared" si="2"/>
        <v>60.000000006984919</v>
      </c>
    </row>
    <row r="145" spans="1:7">
      <c r="A145" t="s">
        <v>12</v>
      </c>
      <c r="B145" t="s">
        <v>24</v>
      </c>
      <c r="C145" s="1">
        <v>45205.495833333334</v>
      </c>
      <c r="D145" t="s">
        <v>18</v>
      </c>
      <c r="E145" s="1">
        <v>45205.504166666666</v>
      </c>
      <c r="F145" t="str">
        <f>VLOOKUP(C145,Продукт!$C$2:$D$568,2,0)</f>
        <v>Jazz</v>
      </c>
      <c r="G145" s="2">
        <f t="shared" si="2"/>
        <v>11.999999997206032</v>
      </c>
    </row>
    <row r="146" spans="1:7">
      <c r="A146" t="s">
        <v>5</v>
      </c>
      <c r="B146" t="s">
        <v>24</v>
      </c>
      <c r="C146" s="1">
        <v>45205.578472222223</v>
      </c>
      <c r="D146" t="s">
        <v>17</v>
      </c>
      <c r="E146" s="1">
        <v>45205.57916666667</v>
      </c>
      <c r="F146" t="str">
        <f>VLOOKUP(C146,Продукт!$C$2:$D$568,2,0)</f>
        <v>Jazz</v>
      </c>
      <c r="G146" s="2">
        <f t="shared" si="2"/>
        <v>1.000000003259629</v>
      </c>
    </row>
    <row r="147" spans="1:7">
      <c r="A147" t="s">
        <v>3</v>
      </c>
      <c r="B147" t="s">
        <v>24</v>
      </c>
      <c r="C147" s="1">
        <v>45205.601388888892</v>
      </c>
      <c r="D147" t="s">
        <v>17</v>
      </c>
      <c r="E147" s="1">
        <v>45205.620138888888</v>
      </c>
      <c r="F147" t="str">
        <f>VLOOKUP(C147,Продукт!$C$2:$D$568,2,0)</f>
        <v>SaluteBot</v>
      </c>
      <c r="G147" s="2">
        <f t="shared" si="2"/>
        <v>26.999999993713573</v>
      </c>
    </row>
    <row r="148" spans="1:7">
      <c r="A148" t="s">
        <v>5</v>
      </c>
      <c r="B148" t="s">
        <v>25</v>
      </c>
      <c r="C148" s="1">
        <v>45205.604861111111</v>
      </c>
      <c r="D148" t="s">
        <v>17</v>
      </c>
      <c r="E148" s="1">
        <v>45205.618750000001</v>
      </c>
      <c r="F148" t="str">
        <f>VLOOKUP(C148,Продукт!$C$2:$D$568,2,0)</f>
        <v>SaluteBot</v>
      </c>
      <c r="G148" s="2">
        <f t="shared" si="2"/>
        <v>20.000000002328306</v>
      </c>
    </row>
    <row r="149" spans="1:7">
      <c r="A149" t="s">
        <v>5</v>
      </c>
      <c r="B149" t="s">
        <v>24</v>
      </c>
      <c r="C149" s="1">
        <v>45205.656944444447</v>
      </c>
      <c r="D149" t="s">
        <v>17</v>
      </c>
      <c r="E149" s="1">
        <v>45205.705555555556</v>
      </c>
      <c r="F149" t="str">
        <f>VLOOKUP(C149,Продукт!$C$2:$D$568,2,0)</f>
        <v>Jazz</v>
      </c>
      <c r="G149" s="2">
        <f t="shared" si="2"/>
        <v>69.999999997671694</v>
      </c>
    </row>
    <row r="150" spans="1:7">
      <c r="A150" t="s">
        <v>6</v>
      </c>
      <c r="B150" t="s">
        <v>24</v>
      </c>
      <c r="C150" s="1">
        <v>45205.665277777778</v>
      </c>
      <c r="D150" t="s">
        <v>17</v>
      </c>
      <c r="E150" s="1">
        <v>45205.743055555555</v>
      </c>
      <c r="F150" t="str">
        <f>VLOOKUP(C150,Продукт!$C$2:$D$568,2,0)</f>
        <v>Jazz</v>
      </c>
      <c r="G150" s="2">
        <f t="shared" si="2"/>
        <v>111.99999999837019</v>
      </c>
    </row>
    <row r="151" spans="1:7">
      <c r="A151" t="s">
        <v>1</v>
      </c>
      <c r="B151" t="s">
        <v>25</v>
      </c>
      <c r="C151" s="1">
        <v>45205.672222222223</v>
      </c>
      <c r="D151" t="s">
        <v>17</v>
      </c>
      <c r="E151" s="1">
        <v>45205.690972222219</v>
      </c>
      <c r="F151" t="str">
        <f>VLOOKUP(C151,Продукт!$C$2:$D$568,2,0)</f>
        <v>Jazz</v>
      </c>
      <c r="G151" s="2">
        <f t="shared" si="2"/>
        <v>26.999999993713573</v>
      </c>
    </row>
    <row r="152" spans="1:7">
      <c r="A152" t="s">
        <v>5</v>
      </c>
      <c r="B152" t="s">
        <v>24</v>
      </c>
      <c r="C152" s="1">
        <v>45205.697222222225</v>
      </c>
      <c r="D152" t="s">
        <v>17</v>
      </c>
      <c r="E152" s="1">
        <v>45205.718055555553</v>
      </c>
      <c r="F152" t="str">
        <f>VLOOKUP(C152,Продукт!$C$2:$D$568,2,0)</f>
        <v>Jazz</v>
      </c>
      <c r="G152" s="2">
        <f t="shared" si="2"/>
        <v>29.999999993015081</v>
      </c>
    </row>
    <row r="153" spans="1:7">
      <c r="A153" t="s">
        <v>5</v>
      </c>
      <c r="B153" t="s">
        <v>24</v>
      </c>
      <c r="C153" s="1">
        <v>45205.75</v>
      </c>
      <c r="D153" t="s">
        <v>17</v>
      </c>
      <c r="E153" s="1">
        <v>45208.702777777777</v>
      </c>
      <c r="F153" t="str">
        <f>VLOOKUP(C153,Продукт!$C$2:$D$568,2,0)</f>
        <v>SaluteSpeech</v>
      </c>
      <c r="G153" s="2">
        <f t="shared" si="2"/>
        <v>4251.9999999983702</v>
      </c>
    </row>
    <row r="154" spans="1:7">
      <c r="A154" t="s">
        <v>4</v>
      </c>
      <c r="B154" t="s">
        <v>24</v>
      </c>
      <c r="C154" s="1">
        <v>45205.754861111112</v>
      </c>
      <c r="D154" t="s">
        <v>17</v>
      </c>
      <c r="E154" s="1">
        <v>45208.563888888886</v>
      </c>
      <c r="F154" t="str">
        <f>VLOOKUP(C154,Продукт!$C$2:$D$568,2,0)</f>
        <v>Jazz</v>
      </c>
      <c r="G154" s="2">
        <f t="shared" si="2"/>
        <v>4044.9999999941792</v>
      </c>
    </row>
    <row r="155" spans="1:7">
      <c r="A155" t="s">
        <v>7</v>
      </c>
      <c r="B155" t="s">
        <v>24</v>
      </c>
      <c r="C155" s="1">
        <v>45205.818749999999</v>
      </c>
      <c r="D155" t="s">
        <v>17</v>
      </c>
      <c r="E155" s="1">
        <v>45208.572916666664</v>
      </c>
      <c r="F155" t="str">
        <f>VLOOKUP(C155,Продукт!$C$2:$D$568,2,0)</f>
        <v>Jazz</v>
      </c>
      <c r="G155" s="2">
        <f t="shared" si="2"/>
        <v>3965.999999998603</v>
      </c>
    </row>
    <row r="156" spans="1:7">
      <c r="A156" t="s">
        <v>10</v>
      </c>
      <c r="B156" t="s">
        <v>24</v>
      </c>
      <c r="C156" s="1">
        <v>45205.827777777777</v>
      </c>
      <c r="D156" t="s">
        <v>17</v>
      </c>
      <c r="E156" s="1">
        <v>45208.670138888891</v>
      </c>
      <c r="F156" t="str">
        <f>VLOOKUP(C156,Продукт!$C$2:$D$568,2,0)</f>
        <v>SaluteBot</v>
      </c>
      <c r="G156" s="2">
        <f t="shared" si="2"/>
        <v>4093.0000000039581</v>
      </c>
    </row>
    <row r="157" spans="1:7">
      <c r="A157" t="s">
        <v>11</v>
      </c>
      <c r="B157" t="s">
        <v>25</v>
      </c>
      <c r="C157" s="1">
        <v>45205.864583333336</v>
      </c>
      <c r="D157" t="s">
        <v>17</v>
      </c>
      <c r="E157" s="1">
        <v>45208.634722222225</v>
      </c>
      <c r="F157" t="str">
        <f>VLOOKUP(C157,Продукт!$C$2:$D$568,2,0)</f>
        <v>SaluteSpeech</v>
      </c>
      <c r="G157" s="2">
        <f t="shared" si="2"/>
        <v>3989.0000000002328</v>
      </c>
    </row>
    <row r="158" spans="1:7">
      <c r="A158" t="s">
        <v>10</v>
      </c>
      <c r="B158" t="s">
        <v>24</v>
      </c>
      <c r="C158" s="1">
        <v>45205.865277777775</v>
      </c>
      <c r="D158" t="s">
        <v>17</v>
      </c>
      <c r="E158" s="1">
        <v>45208.640972222223</v>
      </c>
      <c r="F158" t="str">
        <f>VLOOKUP(C158,Продукт!$C$2:$D$568,2,0)</f>
        <v>SaluteSpeech</v>
      </c>
      <c r="G158" s="2">
        <f t="shared" si="2"/>
        <v>3997.0000000053551</v>
      </c>
    </row>
    <row r="159" spans="1:7">
      <c r="A159" t="s">
        <v>5</v>
      </c>
      <c r="B159" t="s">
        <v>24</v>
      </c>
      <c r="C159" s="1">
        <v>45205.916666666664</v>
      </c>
      <c r="D159" t="s">
        <v>17</v>
      </c>
      <c r="E159" s="1">
        <v>45208.646527777775</v>
      </c>
      <c r="F159" t="str">
        <f>VLOOKUP(C159,Продукт!$C$2:$D$568,2,0)</f>
        <v>SaluteBot</v>
      </c>
      <c r="G159" s="2">
        <f t="shared" si="2"/>
        <v>3930.9999999997672</v>
      </c>
    </row>
    <row r="160" spans="1:7">
      <c r="A160" t="s">
        <v>5</v>
      </c>
      <c r="B160" t="s">
        <v>24</v>
      </c>
      <c r="C160" s="1">
        <v>45205.927083333336</v>
      </c>
      <c r="D160" t="s">
        <v>17</v>
      </c>
      <c r="E160" s="1">
        <v>45208.647916666669</v>
      </c>
      <c r="F160" t="str">
        <f>VLOOKUP(C160,Продукт!$C$2:$D$568,2,0)</f>
        <v>SaluteBot</v>
      </c>
      <c r="G160" s="2">
        <f t="shared" si="2"/>
        <v>3917.9999999993015</v>
      </c>
    </row>
    <row r="161" spans="1:7">
      <c r="A161" t="s">
        <v>5</v>
      </c>
      <c r="B161" t="s">
        <v>24</v>
      </c>
      <c r="C161" s="1">
        <v>45205.927083333336</v>
      </c>
      <c r="D161" t="s">
        <v>17</v>
      </c>
      <c r="E161" s="1">
        <v>45208.655555555553</v>
      </c>
      <c r="F161" t="str">
        <f>VLOOKUP(C161,Продукт!$C$2:$D$568,2,0)</f>
        <v>SaluteBot</v>
      </c>
      <c r="G161" s="2">
        <f t="shared" si="2"/>
        <v>3928.9999999932479</v>
      </c>
    </row>
    <row r="162" spans="1:7">
      <c r="A162" t="s">
        <v>11</v>
      </c>
      <c r="B162" t="s">
        <v>24</v>
      </c>
      <c r="C162" s="1">
        <v>45206.663888888892</v>
      </c>
      <c r="D162" t="s">
        <v>17</v>
      </c>
      <c r="E162" s="1">
        <v>45208.65625</v>
      </c>
      <c r="F162" t="str">
        <f>VLOOKUP(C162,Продукт!$C$2:$D$568,2,0)</f>
        <v>SaluteSpeech</v>
      </c>
      <c r="G162" s="2">
        <f t="shared" si="2"/>
        <v>2868.9999999955762</v>
      </c>
    </row>
    <row r="163" spans="1:7">
      <c r="A163" t="s">
        <v>5</v>
      </c>
      <c r="B163" t="s">
        <v>24</v>
      </c>
      <c r="C163" s="1">
        <v>45206.677777777775</v>
      </c>
      <c r="D163" t="s">
        <v>17</v>
      </c>
      <c r="E163" s="1">
        <v>45208.670138888891</v>
      </c>
      <c r="F163" t="str">
        <f>VLOOKUP(C163,Продукт!$C$2:$D$568,2,0)</f>
        <v>SaluteSpeech</v>
      </c>
      <c r="G163" s="2">
        <f t="shared" si="2"/>
        <v>2869.0000000060536</v>
      </c>
    </row>
    <row r="164" spans="1:7">
      <c r="A164" t="s">
        <v>5</v>
      </c>
      <c r="B164" t="s">
        <v>25</v>
      </c>
      <c r="C164" s="1">
        <v>45206.695833333331</v>
      </c>
      <c r="D164" t="s">
        <v>17</v>
      </c>
      <c r="E164" s="1">
        <v>45208.675694444442</v>
      </c>
      <c r="F164" t="str">
        <f>VLOOKUP(C164,Продукт!$C$2:$D$568,2,0)</f>
        <v>SaluteBot</v>
      </c>
      <c r="G164" s="2">
        <f t="shared" si="2"/>
        <v>2850.9999999997672</v>
      </c>
    </row>
    <row r="165" spans="1:7">
      <c r="A165" t="s">
        <v>11</v>
      </c>
      <c r="B165" t="s">
        <v>25</v>
      </c>
      <c r="C165" s="1">
        <v>45206.742361111108</v>
      </c>
      <c r="D165" t="s">
        <v>17</v>
      </c>
      <c r="E165" s="1">
        <v>45208.612500000003</v>
      </c>
      <c r="F165" t="str">
        <f>VLOOKUP(C165,Продукт!$C$2:$D$568,2,0)</f>
        <v>Jazz</v>
      </c>
      <c r="G165" s="2">
        <f t="shared" si="2"/>
        <v>2693.0000000086147</v>
      </c>
    </row>
    <row r="166" spans="1:7">
      <c r="A166" t="s">
        <v>5</v>
      </c>
      <c r="B166" t="s">
        <v>25</v>
      </c>
      <c r="C166" s="1">
        <v>45206.886805555558</v>
      </c>
      <c r="D166" t="s">
        <v>17</v>
      </c>
      <c r="E166" s="1">
        <v>45208.693749999999</v>
      </c>
      <c r="F166" t="str">
        <f>VLOOKUP(C166,Продукт!$C$2:$D$568,2,0)</f>
        <v>SaluteSpeech</v>
      </c>
      <c r="G166" s="2">
        <f t="shared" si="2"/>
        <v>2601.9999999948777</v>
      </c>
    </row>
    <row r="167" spans="1:7">
      <c r="A167" t="s">
        <v>3</v>
      </c>
      <c r="B167" t="s">
        <v>24</v>
      </c>
      <c r="C167" s="1">
        <v>45207.196527777778</v>
      </c>
      <c r="D167" t="s">
        <v>17</v>
      </c>
      <c r="E167" s="1">
        <v>45208.707638888889</v>
      </c>
      <c r="F167" t="str">
        <f>VLOOKUP(C167,Продукт!$C$2:$D$568,2,0)</f>
        <v>SaluteBot</v>
      </c>
      <c r="G167" s="2">
        <f t="shared" si="2"/>
        <v>2175.9999999997672</v>
      </c>
    </row>
    <row r="168" spans="1:7">
      <c r="A168" t="s">
        <v>5</v>
      </c>
      <c r="B168" t="s">
        <v>25</v>
      </c>
      <c r="C168" s="1" t="s">
        <v>14</v>
      </c>
      <c r="D168" t="s">
        <v>17</v>
      </c>
      <c r="E168" s="1">
        <v>45208.680555555555</v>
      </c>
      <c r="F168" t="str">
        <f>VLOOKUP(C168,Продукт!$C$2:$D$568,2,0)</f>
        <v>Jazz</v>
      </c>
      <c r="G168" s="2"/>
    </row>
    <row r="169" spans="1:7">
      <c r="A169" t="s">
        <v>6</v>
      </c>
      <c r="B169" t="s">
        <v>24</v>
      </c>
      <c r="C169" s="1">
        <v>45207.496527777781</v>
      </c>
      <c r="D169" t="s">
        <v>17</v>
      </c>
      <c r="E169" s="1">
        <v>45208.605555555558</v>
      </c>
      <c r="F169" t="str">
        <f>VLOOKUP(C169,Продукт!$C$2:$D$568,2,0)</f>
        <v>SaluteSpeech</v>
      </c>
      <c r="G169" s="2">
        <f t="shared" si="2"/>
        <v>1596.9999999983702</v>
      </c>
    </row>
    <row r="170" spans="1:7">
      <c r="A170" t="s">
        <v>11</v>
      </c>
      <c r="B170" t="s">
        <v>25</v>
      </c>
      <c r="C170" s="1">
        <v>45207.6875</v>
      </c>
      <c r="D170" t="s">
        <v>17</v>
      </c>
      <c r="E170" s="1">
        <v>45208.690972222219</v>
      </c>
      <c r="F170" t="str">
        <f>VLOOKUP(C170,Продукт!$C$2:$D$568,2,0)</f>
        <v>SaluteBot</v>
      </c>
      <c r="G170" s="2">
        <f t="shared" si="2"/>
        <v>1444.9999999953434</v>
      </c>
    </row>
    <row r="171" spans="1:7">
      <c r="A171" t="s">
        <v>7</v>
      </c>
      <c r="B171" t="s">
        <v>25</v>
      </c>
      <c r="C171" s="1">
        <v>45207.828472222223</v>
      </c>
      <c r="D171" t="s">
        <v>17</v>
      </c>
      <c r="E171" s="1">
        <v>45208.695833333331</v>
      </c>
      <c r="F171" t="str">
        <f>VLOOKUP(C171,Продукт!$C$2:$D$568,2,0)</f>
        <v>SaluteSpeech</v>
      </c>
      <c r="G171" s="2">
        <f t="shared" si="2"/>
        <v>1248.9999999955762</v>
      </c>
    </row>
    <row r="172" spans="1:7">
      <c r="A172" t="s">
        <v>5</v>
      </c>
      <c r="B172" t="s">
        <v>24</v>
      </c>
      <c r="C172" s="1">
        <v>45207.863888888889</v>
      </c>
      <c r="D172" t="s">
        <v>17</v>
      </c>
      <c r="E172" s="1">
        <v>45208.672222222223</v>
      </c>
      <c r="F172" t="str">
        <f>VLOOKUP(C172,Продукт!$C$2:$D$568,2,0)</f>
        <v>SaluteBot</v>
      </c>
      <c r="G172" s="2">
        <f t="shared" si="2"/>
        <v>1164.000000001397</v>
      </c>
    </row>
    <row r="173" spans="1:7">
      <c r="A173" t="s">
        <v>11</v>
      </c>
      <c r="B173" t="s">
        <v>25</v>
      </c>
      <c r="C173" s="1">
        <v>45207.967361111114</v>
      </c>
      <c r="D173" t="s">
        <v>17</v>
      </c>
      <c r="E173" s="1">
        <v>45208.667361111111</v>
      </c>
      <c r="F173" t="str">
        <f>VLOOKUP(C173,Продукт!$C$2:$D$568,2,0)</f>
        <v>SaluteBot</v>
      </c>
      <c r="G173" s="2">
        <f t="shared" si="2"/>
        <v>1007.999999995809</v>
      </c>
    </row>
    <row r="174" spans="1:7">
      <c r="A174" t="s">
        <v>11</v>
      </c>
      <c r="B174" t="s">
        <v>25</v>
      </c>
      <c r="C174" s="1">
        <v>45207.980555555558</v>
      </c>
      <c r="D174" t="s">
        <v>17</v>
      </c>
      <c r="E174" s="1">
        <v>45208.740277777775</v>
      </c>
      <c r="F174" t="str">
        <f>VLOOKUP(C174,Продукт!$C$2:$D$568,2,0)</f>
        <v>SaluteSpeech</v>
      </c>
      <c r="G174" s="2">
        <f t="shared" si="2"/>
        <v>1093.9999999932479</v>
      </c>
    </row>
    <row r="175" spans="1:7">
      <c r="A175" t="s">
        <v>5</v>
      </c>
      <c r="B175" t="s">
        <v>25</v>
      </c>
      <c r="C175" s="1">
        <v>45208.186111111114</v>
      </c>
      <c r="D175" t="s">
        <v>17</v>
      </c>
      <c r="E175" s="1">
        <v>45208.671527777777</v>
      </c>
      <c r="F175" t="str">
        <f>VLOOKUP(C175,Продукт!$C$2:$D$568,2,0)</f>
        <v>SaluteBot</v>
      </c>
      <c r="G175" s="2">
        <f t="shared" si="2"/>
        <v>698.99999999441206</v>
      </c>
    </row>
    <row r="176" spans="1:7">
      <c r="A176" t="s">
        <v>11</v>
      </c>
      <c r="B176" t="s">
        <v>25</v>
      </c>
      <c r="C176" s="1">
        <v>45208.19027777778</v>
      </c>
      <c r="D176" t="s">
        <v>17</v>
      </c>
      <c r="E176" s="1">
        <v>45208.658333333333</v>
      </c>
      <c r="F176" t="str">
        <f>VLOOKUP(C176,Продукт!$C$2:$D$568,2,0)</f>
        <v>SaluteSpeech</v>
      </c>
      <c r="G176" s="2">
        <f t="shared" si="2"/>
        <v>673.99999999674037</v>
      </c>
    </row>
    <row r="177" spans="1:7">
      <c r="A177" t="s">
        <v>10</v>
      </c>
      <c r="B177" t="s">
        <v>24</v>
      </c>
      <c r="C177" s="1">
        <v>45208.46875</v>
      </c>
      <c r="D177" t="s">
        <v>17</v>
      </c>
      <c r="E177" s="1">
        <v>45208.52847222222</v>
      </c>
      <c r="F177" t="str">
        <f>VLOOKUP(C177,Продукт!$C$2:$D$568,2,0)</f>
        <v>SaluteBot</v>
      </c>
      <c r="G177" s="2">
        <f t="shared" si="2"/>
        <v>85.999999997438863</v>
      </c>
    </row>
    <row r="178" spans="1:7">
      <c r="A178" t="s">
        <v>5</v>
      </c>
      <c r="B178" t="s">
        <v>24</v>
      </c>
      <c r="C178" s="1">
        <v>45208.509027777778</v>
      </c>
      <c r="D178" t="s">
        <v>17</v>
      </c>
      <c r="E178" s="1">
        <v>45208.529861111114</v>
      </c>
      <c r="F178" t="str">
        <f>VLOOKUP(C178,Продукт!$C$2:$D$568,2,0)</f>
        <v>SaluteSpeech</v>
      </c>
      <c r="G178" s="2">
        <f t="shared" si="2"/>
        <v>30.00000000349246</v>
      </c>
    </row>
    <row r="179" spans="1:7">
      <c r="A179" t="s">
        <v>7</v>
      </c>
      <c r="B179" t="s">
        <v>24</v>
      </c>
      <c r="C179" s="1">
        <v>45208.538888888892</v>
      </c>
      <c r="D179" t="s">
        <v>17</v>
      </c>
      <c r="E179" s="1">
        <v>45208.543749999997</v>
      </c>
      <c r="F179" t="str">
        <f>VLOOKUP(C179,Продукт!$C$2:$D$568,2,0)</f>
        <v>Jazz</v>
      </c>
      <c r="G179" s="2">
        <f t="shared" si="2"/>
        <v>6.9999999913852662</v>
      </c>
    </row>
    <row r="180" spans="1:7">
      <c r="A180" t="s">
        <v>9</v>
      </c>
      <c r="B180" t="s">
        <v>24</v>
      </c>
      <c r="C180" s="1">
        <v>45208.574305555558</v>
      </c>
      <c r="D180" t="s">
        <v>17</v>
      </c>
      <c r="E180" s="1">
        <v>45208.708333333336</v>
      </c>
      <c r="F180" t="str">
        <f>VLOOKUP(C180,Продукт!$C$2:$D$568,2,0)</f>
        <v>Jazz</v>
      </c>
      <c r="G180" s="2">
        <f t="shared" si="2"/>
        <v>193.00000000046566</v>
      </c>
    </row>
    <row r="181" spans="1:7">
      <c r="A181" t="s">
        <v>11</v>
      </c>
      <c r="B181" t="s">
        <v>24</v>
      </c>
      <c r="C181" s="1">
        <v>45208.583333333336</v>
      </c>
      <c r="D181" t="s">
        <v>17</v>
      </c>
      <c r="E181" s="1">
        <v>45208.602777777778</v>
      </c>
      <c r="F181" t="str">
        <f>VLOOKUP(C181,Продукт!$C$2:$D$568,2,0)</f>
        <v>Jazz</v>
      </c>
      <c r="G181" s="2">
        <f t="shared" si="2"/>
        <v>27.999999996973202</v>
      </c>
    </row>
    <row r="182" spans="1:7">
      <c r="A182" t="s">
        <v>9</v>
      </c>
      <c r="B182" t="s">
        <v>25</v>
      </c>
      <c r="C182" s="1">
        <v>45208.590277777781</v>
      </c>
      <c r="D182" t="s">
        <v>17</v>
      </c>
      <c r="E182" s="1">
        <v>45208.613888888889</v>
      </c>
      <c r="F182" t="str">
        <f>VLOOKUP(C182,Продукт!$C$2:$D$568,2,0)</f>
        <v>Jazz</v>
      </c>
      <c r="G182" s="2">
        <f t="shared" si="2"/>
        <v>33.999999995576218</v>
      </c>
    </row>
    <row r="183" spans="1:7">
      <c r="A183" t="s">
        <v>5</v>
      </c>
      <c r="B183" t="s">
        <v>24</v>
      </c>
      <c r="C183" s="1">
        <v>45208.598611111112</v>
      </c>
      <c r="D183" t="s">
        <v>17</v>
      </c>
      <c r="E183" s="1">
        <v>45208.642361111109</v>
      </c>
      <c r="F183" t="str">
        <f>VLOOKUP(C183,Продукт!$C$2:$D$568,2,0)</f>
        <v>SaluteSpeech</v>
      </c>
      <c r="G183" s="2">
        <f t="shared" si="2"/>
        <v>62.999999995809048</v>
      </c>
    </row>
    <row r="184" spans="1:7">
      <c r="A184" t="s">
        <v>5</v>
      </c>
      <c r="B184" t="s">
        <v>24</v>
      </c>
      <c r="C184" s="1">
        <v>45208.618750000001</v>
      </c>
      <c r="D184" t="s">
        <v>17</v>
      </c>
      <c r="E184" s="1">
        <v>45208.644444444442</v>
      </c>
      <c r="F184" t="str">
        <f>VLOOKUP(C184,Продукт!$C$2:$D$568,2,0)</f>
        <v>SaluteSpeech</v>
      </c>
      <c r="G184" s="2">
        <f t="shared" si="2"/>
        <v>36.999999994877726</v>
      </c>
    </row>
    <row r="185" spans="1:7">
      <c r="A185" t="s">
        <v>5</v>
      </c>
      <c r="B185" t="s">
        <v>25</v>
      </c>
      <c r="C185" s="1">
        <v>45208.637499999997</v>
      </c>
      <c r="D185" t="s">
        <v>17</v>
      </c>
      <c r="E185" s="1">
        <v>45208.655555555553</v>
      </c>
      <c r="F185" t="str">
        <f>VLOOKUP(C185,Продукт!$C$2:$D$568,2,0)</f>
        <v>SaluteBot</v>
      </c>
      <c r="G185" s="2">
        <f t="shared" si="2"/>
        <v>26.000000000931323</v>
      </c>
    </row>
    <row r="186" spans="1:7">
      <c r="A186" t="s">
        <v>9</v>
      </c>
      <c r="B186" t="s">
        <v>25</v>
      </c>
      <c r="C186" s="1">
        <v>45208.714583333334</v>
      </c>
      <c r="D186" t="s">
        <v>17</v>
      </c>
      <c r="E186" s="1">
        <v>45208.738194444442</v>
      </c>
      <c r="F186" t="str">
        <f>VLOOKUP(C186,Продукт!$C$2:$D$568,2,0)</f>
        <v>Jazz</v>
      </c>
      <c r="G186" s="2">
        <f t="shared" si="2"/>
        <v>33.999999995576218</v>
      </c>
    </row>
    <row r="187" spans="1:7">
      <c r="A187" t="s">
        <v>11</v>
      </c>
      <c r="B187" t="s">
        <v>25</v>
      </c>
      <c r="C187" s="1">
        <v>45208.731944444444</v>
      </c>
      <c r="D187" t="s">
        <v>17</v>
      </c>
      <c r="E187" s="1">
        <v>45208.754861111112</v>
      </c>
      <c r="F187" t="str">
        <f>VLOOKUP(C187,Продукт!$C$2:$D$568,2,0)</f>
        <v>SaluteSpeech</v>
      </c>
      <c r="G187" s="2">
        <f t="shared" si="2"/>
        <v>33.000000002793968</v>
      </c>
    </row>
    <row r="188" spans="1:7">
      <c r="A188" t="s">
        <v>11</v>
      </c>
      <c r="B188" t="s">
        <v>24</v>
      </c>
      <c r="C188" s="1">
        <v>45208.810416666667</v>
      </c>
      <c r="D188" t="s">
        <v>17</v>
      </c>
      <c r="E188" s="1">
        <v>45209.500694444447</v>
      </c>
      <c r="F188" t="str">
        <f>VLOOKUP(C188,Продукт!$C$2:$D$568,2,0)</f>
        <v>SaluteBot</v>
      </c>
      <c r="G188" s="2">
        <f t="shared" si="2"/>
        <v>994.00000000256114</v>
      </c>
    </row>
    <row r="189" spans="1:7">
      <c r="A189" t="s">
        <v>11</v>
      </c>
      <c r="B189" t="s">
        <v>25</v>
      </c>
      <c r="C189" s="1">
        <v>45208.824999999997</v>
      </c>
      <c r="D189" t="s">
        <v>17</v>
      </c>
      <c r="E189" s="1">
        <v>45208.831944444442</v>
      </c>
      <c r="F189" t="str">
        <f>VLOOKUP(C189,Продукт!$C$2:$D$568,2,0)</f>
        <v>SaluteBot</v>
      </c>
      <c r="G189" s="2">
        <f t="shared" si="2"/>
        <v>10.000000001164153</v>
      </c>
    </row>
    <row r="190" spans="1:7">
      <c r="A190" t="s">
        <v>10</v>
      </c>
      <c r="B190" t="s">
        <v>24</v>
      </c>
      <c r="C190" s="1">
        <v>45208.927777777775</v>
      </c>
      <c r="D190" t="s">
        <v>17</v>
      </c>
      <c r="E190" s="1">
        <v>45209.564583333333</v>
      </c>
      <c r="F190" t="str">
        <f>VLOOKUP(C190,Продукт!$C$2:$D$568,2,0)</f>
        <v>Jazz</v>
      </c>
      <c r="G190" s="2">
        <f t="shared" si="2"/>
        <v>917.0000000030268</v>
      </c>
    </row>
    <row r="191" spans="1:7">
      <c r="A191" t="s">
        <v>10</v>
      </c>
      <c r="B191" t="s">
        <v>24</v>
      </c>
      <c r="C191" s="1">
        <v>45209.156944444447</v>
      </c>
      <c r="D191" t="s">
        <v>17</v>
      </c>
      <c r="E191" s="1">
        <v>45209.576388888891</v>
      </c>
      <c r="F191" t="str">
        <f>VLOOKUP(C191,Продукт!$C$2:$D$568,2,0)</f>
        <v>SaluteBot</v>
      </c>
      <c r="G191" s="2">
        <f t="shared" si="2"/>
        <v>603.99999999906868</v>
      </c>
    </row>
    <row r="192" spans="1:7">
      <c r="A192" t="s">
        <v>5</v>
      </c>
      <c r="B192" t="s">
        <v>24</v>
      </c>
      <c r="C192" s="1">
        <v>45209.536805555559</v>
      </c>
      <c r="D192" t="s">
        <v>17</v>
      </c>
      <c r="E192" s="1">
        <v>45209.557638888888</v>
      </c>
      <c r="F192" t="str">
        <f>VLOOKUP(C192,Продукт!$C$2:$D$568,2,0)</f>
        <v>Jazz</v>
      </c>
      <c r="G192" s="2">
        <f t="shared" si="2"/>
        <v>29.999999993015081</v>
      </c>
    </row>
    <row r="193" spans="1:7">
      <c r="A193" t="s">
        <v>5</v>
      </c>
      <c r="B193" t="s">
        <v>25</v>
      </c>
      <c r="C193" s="1">
        <v>45209.578472222223</v>
      </c>
      <c r="D193" t="s">
        <v>17</v>
      </c>
      <c r="E193" s="1">
        <v>45209.624305555553</v>
      </c>
      <c r="F193" t="str">
        <f>VLOOKUP(C193,Продукт!$C$2:$D$568,2,0)</f>
        <v>Jazz</v>
      </c>
      <c r="G193" s="2">
        <f t="shared" si="2"/>
        <v>65.999999995110556</v>
      </c>
    </row>
    <row r="194" spans="1:7">
      <c r="A194" t="s">
        <v>3</v>
      </c>
      <c r="B194" t="s">
        <v>25</v>
      </c>
      <c r="C194" s="1">
        <v>45209.591666666667</v>
      </c>
      <c r="D194" t="s">
        <v>17</v>
      </c>
      <c r="E194" s="1">
        <v>45209.599999999999</v>
      </c>
      <c r="F194" t="str">
        <f>VLOOKUP(C194,Продукт!$C$2:$D$568,2,0)</f>
        <v>SaluteBot</v>
      </c>
      <c r="G194" s="2">
        <f t="shared" si="2"/>
        <v>11.999999997206032</v>
      </c>
    </row>
    <row r="195" spans="1:7">
      <c r="A195" t="s">
        <v>3</v>
      </c>
      <c r="B195" t="s">
        <v>25</v>
      </c>
      <c r="C195" s="1">
        <v>45209.638888888891</v>
      </c>
      <c r="D195" t="s">
        <v>17</v>
      </c>
      <c r="E195" s="1">
        <v>45209.645833333336</v>
      </c>
      <c r="F195" t="str">
        <f>VLOOKUP(C195,Продукт!$C$2:$D$568,2,0)</f>
        <v>SaluteBot</v>
      </c>
      <c r="G195" s="2">
        <f t="shared" ref="G195:G258" si="3">(E195-C195)*60*24</f>
        <v>10.000000001164153</v>
      </c>
    </row>
    <row r="196" spans="1:7">
      <c r="A196" t="s">
        <v>5</v>
      </c>
      <c r="B196" t="s">
        <v>25</v>
      </c>
      <c r="C196" s="1">
        <v>45209.63958333333</v>
      </c>
      <c r="D196" t="s">
        <v>17</v>
      </c>
      <c r="E196" s="1">
        <v>45209.661805555559</v>
      </c>
      <c r="F196" t="str">
        <f>VLOOKUP(C196,Продукт!$C$2:$D$568,2,0)</f>
        <v>SaluteBot</v>
      </c>
      <c r="G196" s="2">
        <f t="shared" si="3"/>
        <v>32.000000010011718</v>
      </c>
    </row>
    <row r="197" spans="1:7">
      <c r="A197" t="s">
        <v>11</v>
      </c>
      <c r="B197" t="s">
        <v>25</v>
      </c>
      <c r="C197" s="1">
        <v>45209.654166666667</v>
      </c>
      <c r="D197" t="s">
        <v>17</v>
      </c>
      <c r="E197" s="1">
        <v>45209.695833333331</v>
      </c>
      <c r="F197" t="str">
        <f>VLOOKUP(C197,Продукт!$C$2:$D$568,2,0)</f>
        <v>SaluteSpeech</v>
      </c>
      <c r="G197" s="2">
        <f t="shared" si="3"/>
        <v>59.99999999650754</v>
      </c>
    </row>
    <row r="198" spans="1:7">
      <c r="A198" t="s">
        <v>7</v>
      </c>
      <c r="B198" t="s">
        <v>24</v>
      </c>
      <c r="C198" s="1">
        <v>45209.666666666664</v>
      </c>
      <c r="D198" t="s">
        <v>17</v>
      </c>
      <c r="E198" s="1">
        <v>45209.679166666669</v>
      </c>
      <c r="F198" t="str">
        <f>VLOOKUP(C198,Продукт!$C$2:$D$568,2,0)</f>
        <v>Jazz</v>
      </c>
      <c r="G198" s="2">
        <f t="shared" si="3"/>
        <v>18.000000006286427</v>
      </c>
    </row>
    <row r="199" spans="1:7">
      <c r="A199" t="s">
        <v>10</v>
      </c>
      <c r="B199" t="s">
        <v>25</v>
      </c>
      <c r="C199" s="1">
        <v>45210.652777777781</v>
      </c>
      <c r="D199" t="s">
        <v>17</v>
      </c>
      <c r="E199" s="1">
        <v>45210.660416666666</v>
      </c>
      <c r="F199" t="str">
        <f>VLOOKUP(C199,Продукт!$C$2:$D$568,2,0)</f>
        <v>Jazz</v>
      </c>
      <c r="G199" s="2">
        <f t="shared" si="3"/>
        <v>10.999999993946403</v>
      </c>
    </row>
    <row r="200" spans="1:7">
      <c r="A200" t="s">
        <v>5</v>
      </c>
      <c r="B200" t="s">
        <v>24</v>
      </c>
      <c r="C200" s="1">
        <v>45210.686805555553</v>
      </c>
      <c r="D200" t="s">
        <v>17</v>
      </c>
      <c r="E200" s="1">
        <v>45210.689583333333</v>
      </c>
      <c r="F200" t="str">
        <f>VLOOKUP(C200,Продукт!$C$2:$D$568,2,0)</f>
        <v>Jazz</v>
      </c>
      <c r="G200" s="2">
        <f t="shared" si="3"/>
        <v>4.0000000025611371</v>
      </c>
    </row>
    <row r="201" spans="1:7">
      <c r="A201" t="s">
        <v>5</v>
      </c>
      <c r="B201" t="s">
        <v>24</v>
      </c>
      <c r="C201" s="1">
        <v>45210.720833333333</v>
      </c>
      <c r="D201" t="s">
        <v>17</v>
      </c>
      <c r="E201" s="1">
        <v>45210.734722222223</v>
      </c>
      <c r="F201" t="str">
        <f>VLOOKUP(C201,Продукт!$C$2:$D$568,2,0)</f>
        <v>SaluteBot</v>
      </c>
      <c r="G201" s="2">
        <f t="shared" si="3"/>
        <v>20.000000002328306</v>
      </c>
    </row>
    <row r="202" spans="1:7">
      <c r="A202" t="s">
        <v>11</v>
      </c>
      <c r="B202" t="s">
        <v>25</v>
      </c>
      <c r="C202" s="1">
        <v>45210.727083333331</v>
      </c>
      <c r="D202" t="s">
        <v>17</v>
      </c>
      <c r="E202" s="1">
        <v>45210.754861111112</v>
      </c>
      <c r="F202" t="str">
        <f>VLOOKUP(C202,Продукт!$C$2:$D$568,2,0)</f>
        <v>SaluteSpeech</v>
      </c>
      <c r="G202" s="2">
        <f t="shared" si="3"/>
        <v>40.000000004656613</v>
      </c>
    </row>
    <row r="203" spans="1:7">
      <c r="A203" t="s">
        <v>3</v>
      </c>
      <c r="B203" t="s">
        <v>25</v>
      </c>
      <c r="C203" s="1">
        <v>45210.775000000001</v>
      </c>
      <c r="D203" t="s">
        <v>17</v>
      </c>
      <c r="E203" s="1">
        <v>45210.788888888892</v>
      </c>
      <c r="F203" t="str">
        <f>VLOOKUP(C203,Продукт!$C$2:$D$568,2,0)</f>
        <v>SaluteBot</v>
      </c>
      <c r="G203" s="2">
        <f t="shared" si="3"/>
        <v>20.000000002328306</v>
      </c>
    </row>
    <row r="204" spans="1:7">
      <c r="A204" t="s">
        <v>9</v>
      </c>
      <c r="B204" t="s">
        <v>25</v>
      </c>
      <c r="C204" s="1">
        <v>45210.779861111114</v>
      </c>
      <c r="D204" t="s">
        <v>17</v>
      </c>
      <c r="E204" s="1">
        <v>45210.786111111112</v>
      </c>
      <c r="F204" t="str">
        <f>VLOOKUP(C204,Продукт!$C$2:$D$568,2,0)</f>
        <v>SaluteSpeech</v>
      </c>
      <c r="G204" s="2">
        <f t="shared" si="3"/>
        <v>8.9999999979045242</v>
      </c>
    </row>
    <row r="205" spans="1:7">
      <c r="A205" t="s">
        <v>7</v>
      </c>
      <c r="B205" t="s">
        <v>25</v>
      </c>
      <c r="C205" s="1">
        <v>45210.824305555558</v>
      </c>
      <c r="D205" t="s">
        <v>17</v>
      </c>
      <c r="E205" s="1">
        <v>45210.847916666666</v>
      </c>
      <c r="F205" t="str">
        <f>VLOOKUP(C205,Продукт!$C$2:$D$568,2,0)</f>
        <v>Jazz</v>
      </c>
      <c r="G205" s="2">
        <f t="shared" si="3"/>
        <v>33.999999995576218</v>
      </c>
    </row>
    <row r="206" spans="1:7">
      <c r="A206" t="s">
        <v>11</v>
      </c>
      <c r="B206" t="s">
        <v>25</v>
      </c>
      <c r="C206" s="1">
        <v>45210.873611111114</v>
      </c>
      <c r="D206" t="s">
        <v>17</v>
      </c>
      <c r="E206" s="1">
        <v>45211.543055555558</v>
      </c>
      <c r="F206" t="str">
        <f>VLOOKUP(C206,Продукт!$C$2:$D$568,2,0)</f>
        <v>SaluteSpeech</v>
      </c>
      <c r="G206" s="2">
        <f t="shared" si="3"/>
        <v>963.99999999906868</v>
      </c>
    </row>
    <row r="207" spans="1:7">
      <c r="A207" t="s">
        <v>5</v>
      </c>
      <c r="B207" t="s">
        <v>25</v>
      </c>
      <c r="C207" s="1">
        <v>45210.896527777775</v>
      </c>
      <c r="D207" t="s">
        <v>17</v>
      </c>
      <c r="E207" s="1">
        <v>45211.540277777778</v>
      </c>
      <c r="F207" t="str">
        <f>VLOOKUP(C207,Продукт!$C$2:$D$568,2,0)</f>
        <v>SaluteBot</v>
      </c>
      <c r="G207" s="2">
        <f t="shared" si="3"/>
        <v>927.00000000419095</v>
      </c>
    </row>
    <row r="208" spans="1:7">
      <c r="A208" t="s">
        <v>9</v>
      </c>
      <c r="B208" t="s">
        <v>24</v>
      </c>
      <c r="C208" s="1">
        <v>45210.904861111114</v>
      </c>
      <c r="D208" t="s">
        <v>17</v>
      </c>
      <c r="E208" s="1">
        <v>45211.500694444447</v>
      </c>
      <c r="F208" t="str">
        <f>VLOOKUP(C208,Продукт!$C$2:$D$568,2,0)</f>
        <v>SaluteSpeech</v>
      </c>
      <c r="G208" s="2">
        <f t="shared" si="3"/>
        <v>857.99999999930151</v>
      </c>
    </row>
    <row r="209" spans="1:7">
      <c r="A209" t="s">
        <v>6</v>
      </c>
      <c r="B209" t="s">
        <v>24</v>
      </c>
      <c r="C209" s="1">
        <v>45211.082638888889</v>
      </c>
      <c r="D209" t="s">
        <v>17</v>
      </c>
      <c r="E209" s="1">
        <v>45211.561111111114</v>
      </c>
      <c r="F209" t="str">
        <f>VLOOKUP(C209,Продукт!$C$2:$D$568,2,0)</f>
        <v>SaluteSpeech</v>
      </c>
      <c r="G209" s="2">
        <f t="shared" si="3"/>
        <v>689.00000000372529</v>
      </c>
    </row>
    <row r="210" spans="1:7">
      <c r="A210" t="s">
        <v>5</v>
      </c>
      <c r="B210" t="s">
        <v>24</v>
      </c>
      <c r="C210" s="1">
        <v>45211.334722222222</v>
      </c>
      <c r="D210" t="s">
        <v>17</v>
      </c>
      <c r="E210" s="1">
        <v>45211.521527777775</v>
      </c>
      <c r="F210" t="str">
        <f>VLOOKUP(C210,Продукт!$C$2:$D$568,2,0)</f>
        <v>SaluteSpeech</v>
      </c>
      <c r="G210" s="2">
        <f t="shared" si="3"/>
        <v>268.99999999674037</v>
      </c>
    </row>
    <row r="211" spans="1:7">
      <c r="A211" t="s">
        <v>5</v>
      </c>
      <c r="B211" t="s">
        <v>24</v>
      </c>
      <c r="C211" s="1">
        <v>45211.47152777778</v>
      </c>
      <c r="D211" t="s">
        <v>17</v>
      </c>
      <c r="E211" s="1">
        <v>45211.518750000003</v>
      </c>
      <c r="F211" t="str">
        <f>VLOOKUP(C211,Продукт!$C$2:$D$568,2,0)</f>
        <v>SaluteBot</v>
      </c>
      <c r="G211" s="2">
        <f t="shared" si="3"/>
        <v>68.000000001629815</v>
      </c>
    </row>
    <row r="212" spans="1:7">
      <c r="A212" t="s">
        <v>7</v>
      </c>
      <c r="B212" t="s">
        <v>24</v>
      </c>
      <c r="C212" s="1">
        <v>45211.489583333336</v>
      </c>
      <c r="D212" t="s">
        <v>17</v>
      </c>
      <c r="E212" s="1">
        <v>45211.52847222222</v>
      </c>
      <c r="F212" t="str">
        <f>VLOOKUP(C212,Продукт!$C$2:$D$568,2,0)</f>
        <v>SaluteSpeech</v>
      </c>
      <c r="G212" s="2">
        <f t="shared" si="3"/>
        <v>55.999999993946403</v>
      </c>
    </row>
    <row r="213" spans="1:7">
      <c r="A213" t="s">
        <v>10</v>
      </c>
      <c r="B213" t="s">
        <v>24</v>
      </c>
      <c r="C213" s="1">
        <v>45211.510416666664</v>
      </c>
      <c r="D213" t="s">
        <v>17</v>
      </c>
      <c r="E213" s="1">
        <v>45211.537499999999</v>
      </c>
      <c r="F213" t="str">
        <f>VLOOKUP(C213,Продукт!$C$2:$D$568,2,0)</f>
        <v>SaluteBot</v>
      </c>
      <c r="G213" s="2">
        <f t="shared" si="3"/>
        <v>39.000000001396984</v>
      </c>
    </row>
    <row r="214" spans="1:7">
      <c r="A214" t="s">
        <v>9</v>
      </c>
      <c r="B214" t="s">
        <v>25</v>
      </c>
      <c r="C214" s="1">
        <v>45211.526388888888</v>
      </c>
      <c r="D214" t="s">
        <v>17</v>
      </c>
      <c r="E214" s="1">
        <v>45211.536111111112</v>
      </c>
      <c r="F214" t="str">
        <f>VLOOKUP(C214,Продукт!$C$2:$D$568,2,0)</f>
        <v>SaluteBot</v>
      </c>
      <c r="G214" s="2">
        <f t="shared" si="3"/>
        <v>14.00000000372529</v>
      </c>
    </row>
    <row r="215" spans="1:7">
      <c r="A215" t="s">
        <v>3</v>
      </c>
      <c r="B215" t="s">
        <v>24</v>
      </c>
      <c r="C215" s="1">
        <v>45211.539583333331</v>
      </c>
      <c r="D215" t="s">
        <v>17</v>
      </c>
      <c r="E215" s="1">
        <v>45211.540277777778</v>
      </c>
      <c r="F215" t="str">
        <f>VLOOKUP(C215,Продукт!$C$2:$D$568,2,0)</f>
        <v>SaluteBot</v>
      </c>
      <c r="G215" s="2">
        <f t="shared" si="3"/>
        <v>1.000000003259629</v>
      </c>
    </row>
    <row r="216" spans="1:7">
      <c r="A216" t="s">
        <v>5</v>
      </c>
      <c r="B216" t="s">
        <v>25</v>
      </c>
      <c r="C216" s="1">
        <v>45211.570833333331</v>
      </c>
      <c r="D216" t="s">
        <v>17</v>
      </c>
      <c r="E216" s="1">
        <v>45211.62222222222</v>
      </c>
      <c r="F216" t="str">
        <f>VLOOKUP(C216,Продукт!$C$2:$D$568,2,0)</f>
        <v>SaluteSpeech</v>
      </c>
      <c r="G216" s="2">
        <f t="shared" si="3"/>
        <v>74.000000000232831</v>
      </c>
    </row>
    <row r="217" spans="1:7">
      <c r="A217" t="s">
        <v>9</v>
      </c>
      <c r="B217" t="s">
        <v>25</v>
      </c>
      <c r="C217" s="1">
        <v>45211.571527777778</v>
      </c>
      <c r="D217" t="s">
        <v>17</v>
      </c>
      <c r="E217" s="1">
        <v>45211.62222222222</v>
      </c>
      <c r="F217" t="str">
        <f>VLOOKUP(C217,Продукт!$C$2:$D$568,2,0)</f>
        <v>SaluteSpeech</v>
      </c>
      <c r="G217" s="2">
        <f t="shared" si="3"/>
        <v>72.999999996973202</v>
      </c>
    </row>
    <row r="218" spans="1:7">
      <c r="A218" t="s">
        <v>5</v>
      </c>
      <c r="B218" t="s">
        <v>24</v>
      </c>
      <c r="C218" s="1">
        <v>45211.572222222225</v>
      </c>
      <c r="D218" t="s">
        <v>17</v>
      </c>
      <c r="E218" s="1">
        <v>45211.574305555558</v>
      </c>
      <c r="F218" t="str">
        <f>VLOOKUP(C218,Продукт!$C$2:$D$568,2,0)</f>
        <v>Jazz</v>
      </c>
      <c r="G218" s="2">
        <f t="shared" si="3"/>
        <v>2.9999999993015081</v>
      </c>
    </row>
    <row r="219" spans="1:7">
      <c r="A219" t="s">
        <v>5</v>
      </c>
      <c r="B219" t="s">
        <v>24</v>
      </c>
      <c r="C219" s="1">
        <v>45211.614583333336</v>
      </c>
      <c r="D219" t="s">
        <v>17</v>
      </c>
      <c r="E219" s="1">
        <v>45211.624305555553</v>
      </c>
      <c r="F219" t="str">
        <f>VLOOKUP(C219,Продукт!$C$2:$D$568,2,0)</f>
        <v>Jazz</v>
      </c>
      <c r="G219" s="2">
        <f t="shared" si="3"/>
        <v>13.999999993247911</v>
      </c>
    </row>
    <row r="220" spans="1:7">
      <c r="A220" t="s">
        <v>5</v>
      </c>
      <c r="B220" t="s">
        <v>24</v>
      </c>
      <c r="C220" s="1">
        <v>45211.621527777781</v>
      </c>
      <c r="D220" t="s">
        <v>17</v>
      </c>
      <c r="E220" s="1">
        <v>45211.645833333336</v>
      </c>
      <c r="F220" t="str">
        <f>VLOOKUP(C220,Продукт!$C$2:$D$568,2,0)</f>
        <v>Jazz</v>
      </c>
      <c r="G220" s="2">
        <f t="shared" si="3"/>
        <v>34.999999998835847</v>
      </c>
    </row>
    <row r="221" spans="1:7">
      <c r="A221" t="s">
        <v>10</v>
      </c>
      <c r="B221" t="s">
        <v>24</v>
      </c>
      <c r="C221" s="1">
        <v>45211.658333333333</v>
      </c>
      <c r="D221" t="s">
        <v>17</v>
      </c>
      <c r="E221" s="1">
        <v>45211.680555555555</v>
      </c>
      <c r="F221" t="str">
        <f>VLOOKUP(C221,Продукт!$C$2:$D$568,2,0)</f>
        <v>SaluteSpeech</v>
      </c>
      <c r="G221" s="2">
        <f t="shared" si="3"/>
        <v>31.999999999534339</v>
      </c>
    </row>
    <row r="222" spans="1:7">
      <c r="A222" t="s">
        <v>11</v>
      </c>
      <c r="B222" t="s">
        <v>24</v>
      </c>
      <c r="C222" s="1">
        <v>45209.698611111111</v>
      </c>
      <c r="D222" t="s">
        <v>17</v>
      </c>
      <c r="E222" s="1">
        <v>45209.713194444441</v>
      </c>
      <c r="F222" t="str">
        <f>VLOOKUP(C222,Продукт!$C$2:$D$568,2,0)</f>
        <v>SaluteBot</v>
      </c>
      <c r="G222" s="2">
        <f t="shared" si="3"/>
        <v>20.999999995110556</v>
      </c>
    </row>
    <row r="223" spans="1:7">
      <c r="A223" t="s">
        <v>9</v>
      </c>
      <c r="B223" t="s">
        <v>25</v>
      </c>
      <c r="C223" s="1">
        <v>45209.731944444444</v>
      </c>
      <c r="D223" t="s">
        <v>18</v>
      </c>
      <c r="E223" s="1">
        <v>45209.759027777778</v>
      </c>
      <c r="F223" t="str">
        <f>VLOOKUP(C223,Продукт!$C$2:$D$568,2,0)</f>
        <v>Jazz</v>
      </c>
      <c r="G223" s="2">
        <f t="shared" si="3"/>
        <v>39.000000001396984</v>
      </c>
    </row>
    <row r="224" spans="1:7">
      <c r="A224" t="s">
        <v>10</v>
      </c>
      <c r="B224" t="s">
        <v>25</v>
      </c>
      <c r="C224" s="1">
        <v>45209.732638888891</v>
      </c>
      <c r="D224" t="s">
        <v>17</v>
      </c>
      <c r="E224" s="1">
        <v>45209.75277777778</v>
      </c>
      <c r="F224" t="str">
        <f>VLOOKUP(C224,Продукт!$C$2:$D$568,2,0)</f>
        <v>SaluteBot</v>
      </c>
      <c r="G224" s="2">
        <f t="shared" si="3"/>
        <v>29.000000000232831</v>
      </c>
    </row>
    <row r="225" spans="1:7">
      <c r="A225" t="s">
        <v>11</v>
      </c>
      <c r="B225" t="s">
        <v>25</v>
      </c>
      <c r="C225" s="1">
        <v>45209.747916666667</v>
      </c>
      <c r="D225" t="s">
        <v>17</v>
      </c>
      <c r="E225" s="1">
        <v>45209.754861111112</v>
      </c>
      <c r="F225" t="str">
        <f>VLOOKUP(C225,Продукт!$C$2:$D$568,2,0)</f>
        <v>Jazz</v>
      </c>
      <c r="G225" s="2">
        <f t="shared" si="3"/>
        <v>10.000000001164153</v>
      </c>
    </row>
    <row r="226" spans="1:7">
      <c r="A226" t="s">
        <v>5</v>
      </c>
      <c r="B226" t="s">
        <v>25</v>
      </c>
      <c r="C226" s="1">
        <v>45209.755555555559</v>
      </c>
      <c r="D226" t="s">
        <v>17</v>
      </c>
      <c r="E226" s="1">
        <v>45209.758333333331</v>
      </c>
      <c r="F226" t="str">
        <f>VLOOKUP(C226,Продукт!$C$2:$D$568,2,0)</f>
        <v>SaluteBot</v>
      </c>
      <c r="G226" s="2">
        <f t="shared" si="3"/>
        <v>3.9999999920837581</v>
      </c>
    </row>
    <row r="227" spans="1:7">
      <c r="A227" t="s">
        <v>5</v>
      </c>
      <c r="B227" t="s">
        <v>25</v>
      </c>
      <c r="C227" s="1">
        <v>45209.777083333334</v>
      </c>
      <c r="D227" t="s">
        <v>17</v>
      </c>
      <c r="E227" s="1">
        <v>45209.791666666664</v>
      </c>
      <c r="F227" t="str">
        <f>VLOOKUP(C227,Продукт!$C$2:$D$568,2,0)</f>
        <v>Jazz</v>
      </c>
      <c r="G227" s="2">
        <f t="shared" si="3"/>
        <v>20.999999995110556</v>
      </c>
    </row>
    <row r="228" spans="1:7">
      <c r="A228" t="s">
        <v>11</v>
      </c>
      <c r="B228" t="s">
        <v>25</v>
      </c>
      <c r="C228" s="1">
        <v>45209.790972222225</v>
      </c>
      <c r="D228" t="s">
        <v>17</v>
      </c>
      <c r="E228" s="1">
        <v>45209.796527777777</v>
      </c>
      <c r="F228" t="str">
        <f>VLOOKUP(C228,Продукт!$C$2:$D$568,2,0)</f>
        <v>SaluteSpeech</v>
      </c>
      <c r="G228" s="2">
        <f t="shared" si="3"/>
        <v>7.9999999946448952</v>
      </c>
    </row>
    <row r="229" spans="1:7">
      <c r="A229" t="s">
        <v>11</v>
      </c>
      <c r="B229" t="s">
        <v>25</v>
      </c>
      <c r="C229" s="1">
        <v>45209.793055555558</v>
      </c>
      <c r="D229" t="s">
        <v>17</v>
      </c>
      <c r="E229" s="1">
        <v>45209.797222222223</v>
      </c>
      <c r="F229" t="str">
        <f>VLOOKUP(C229,Продукт!$C$2:$D$568,2,0)</f>
        <v>SaluteBot</v>
      </c>
      <c r="G229" s="2">
        <f t="shared" si="3"/>
        <v>5.9999999986030161</v>
      </c>
    </row>
    <row r="230" spans="1:7">
      <c r="A230" t="s">
        <v>12</v>
      </c>
      <c r="B230" t="s">
        <v>25</v>
      </c>
      <c r="C230" s="1">
        <v>45209.8</v>
      </c>
      <c r="D230" t="s">
        <v>17</v>
      </c>
      <c r="E230" s="1">
        <v>45209.820138888892</v>
      </c>
      <c r="F230" t="str">
        <f>VLOOKUP(C230,Продукт!$C$2:$D$568,2,0)</f>
        <v>Jazz</v>
      </c>
      <c r="G230" s="2">
        <f t="shared" si="3"/>
        <v>29.000000000232831</v>
      </c>
    </row>
    <row r="231" spans="1:7">
      <c r="A231" t="s">
        <v>6</v>
      </c>
      <c r="B231" t="s">
        <v>24</v>
      </c>
      <c r="C231" s="1">
        <v>45210.019444444442</v>
      </c>
      <c r="D231" t="s">
        <v>17</v>
      </c>
      <c r="E231" s="1">
        <v>45210.571527777778</v>
      </c>
      <c r="F231" t="str">
        <f>VLOOKUP(C231,Продукт!$C$2:$D$568,2,0)</f>
        <v>SaluteSpeech</v>
      </c>
      <c r="G231" s="2">
        <f t="shared" si="3"/>
        <v>795.00000000349246</v>
      </c>
    </row>
    <row r="232" spans="1:7">
      <c r="A232" t="s">
        <v>6</v>
      </c>
      <c r="B232" t="s">
        <v>24</v>
      </c>
      <c r="C232" s="1">
        <v>45210.042361111111</v>
      </c>
      <c r="D232" t="s">
        <v>17</v>
      </c>
      <c r="E232" s="1">
        <v>45210.582638888889</v>
      </c>
      <c r="F232" t="str">
        <f>VLOOKUP(C232,Продукт!$C$2:$D$568,2,0)</f>
        <v>SaluteSpeech</v>
      </c>
      <c r="G232" s="2">
        <f t="shared" si="3"/>
        <v>778.00000000046566</v>
      </c>
    </row>
    <row r="233" spans="1:7">
      <c r="A233" t="s">
        <v>5</v>
      </c>
      <c r="B233" t="s">
        <v>24</v>
      </c>
      <c r="C233" s="1">
        <v>45210.477083333331</v>
      </c>
      <c r="D233" t="s">
        <v>17</v>
      </c>
      <c r="E233" s="1">
        <v>45210.502083333333</v>
      </c>
      <c r="F233" t="str">
        <f>VLOOKUP(C233,Продукт!$C$2:$D$568,2,0)</f>
        <v>Jazz</v>
      </c>
      <c r="G233" s="2">
        <f t="shared" si="3"/>
        <v>36.000000002095476</v>
      </c>
    </row>
    <row r="234" spans="1:7">
      <c r="A234" t="s">
        <v>11</v>
      </c>
      <c r="B234" t="s">
        <v>24</v>
      </c>
      <c r="C234" s="1">
        <v>45210.479166666664</v>
      </c>
      <c r="D234" t="s">
        <v>17</v>
      </c>
      <c r="E234" s="1">
        <v>45210.500694444447</v>
      </c>
      <c r="F234" t="str">
        <f>VLOOKUP(C234,Продукт!$C$2:$D$568,2,0)</f>
        <v>Jazz</v>
      </c>
      <c r="G234" s="2">
        <f t="shared" si="3"/>
        <v>31.000000006752089</v>
      </c>
    </row>
    <row r="235" spans="1:7">
      <c r="A235" t="s">
        <v>7</v>
      </c>
      <c r="B235" t="s">
        <v>24</v>
      </c>
      <c r="C235" s="1">
        <v>45210.494444444441</v>
      </c>
      <c r="D235" t="s">
        <v>17</v>
      </c>
      <c r="E235" s="1">
        <v>45210.523611111108</v>
      </c>
      <c r="F235" t="str">
        <f>VLOOKUP(C235,Продукт!$C$2:$D$568,2,0)</f>
        <v>SaluteSpeech</v>
      </c>
      <c r="G235" s="2">
        <f t="shared" si="3"/>
        <v>42.000000000698492</v>
      </c>
    </row>
    <row r="236" spans="1:7">
      <c r="A236" t="s">
        <v>10</v>
      </c>
      <c r="B236" t="s">
        <v>24</v>
      </c>
      <c r="C236" s="1">
        <v>45210.538194444445</v>
      </c>
      <c r="D236" t="s">
        <v>17</v>
      </c>
      <c r="E236" s="1">
        <v>45210.548611111109</v>
      </c>
      <c r="F236" t="str">
        <f>VLOOKUP(C236,Продукт!$C$2:$D$568,2,0)</f>
        <v>SaluteSpeech</v>
      </c>
      <c r="G236" s="2">
        <f t="shared" si="3"/>
        <v>14.99999999650754</v>
      </c>
    </row>
    <row r="237" spans="1:7">
      <c r="A237" t="s">
        <v>5</v>
      </c>
      <c r="B237" t="s">
        <v>25</v>
      </c>
      <c r="C237" s="1">
        <v>45210.600694444445</v>
      </c>
      <c r="D237" t="s">
        <v>17</v>
      </c>
      <c r="E237" s="1">
        <v>45210.615277777775</v>
      </c>
      <c r="F237" t="str">
        <f>VLOOKUP(C237,Продукт!$C$2:$D$568,2,0)</f>
        <v>SaluteBot</v>
      </c>
      <c r="G237" s="2">
        <f t="shared" si="3"/>
        <v>20.999999995110556</v>
      </c>
    </row>
    <row r="238" spans="1:7">
      <c r="A238" t="s">
        <v>7</v>
      </c>
      <c r="B238" t="s">
        <v>24</v>
      </c>
      <c r="C238" s="1">
        <v>45210.643055555556</v>
      </c>
      <c r="D238" t="s">
        <v>17</v>
      </c>
      <c r="E238" s="1">
        <v>45210.654861111114</v>
      </c>
      <c r="F238" t="str">
        <f>VLOOKUP(C238,Продукт!$C$2:$D$568,2,0)</f>
        <v>Jazz</v>
      </c>
      <c r="G238" s="2">
        <f t="shared" si="3"/>
        <v>17.000000003026798</v>
      </c>
    </row>
    <row r="239" spans="1:7">
      <c r="A239" t="s">
        <v>11</v>
      </c>
      <c r="B239" t="s">
        <v>25</v>
      </c>
      <c r="C239" s="1">
        <v>45210.646527777775</v>
      </c>
      <c r="D239" t="s">
        <v>17</v>
      </c>
      <c r="E239" s="1">
        <v>45210.654861111114</v>
      </c>
      <c r="F239" t="str">
        <f>VLOOKUP(C239,Продукт!$C$2:$D$568,2,0)</f>
        <v>SaluteSpeech</v>
      </c>
      <c r="G239" s="2">
        <f t="shared" si="3"/>
        <v>12.000000007683411</v>
      </c>
    </row>
    <row r="240" spans="1:7">
      <c r="A240" t="s">
        <v>6</v>
      </c>
      <c r="B240" t="s">
        <v>24</v>
      </c>
      <c r="C240" s="1">
        <v>45210.652777777781</v>
      </c>
      <c r="D240" t="s">
        <v>17</v>
      </c>
      <c r="E240" s="1">
        <v>45210.663888888892</v>
      </c>
      <c r="F240" t="str">
        <f>VLOOKUP(C240,Продукт!$C$2:$D$568,2,0)</f>
        <v>Jazz</v>
      </c>
      <c r="G240" s="2">
        <f t="shared" si="3"/>
        <v>15.999999999767169</v>
      </c>
    </row>
    <row r="241" spans="1:7">
      <c r="A241" t="s">
        <v>6</v>
      </c>
      <c r="B241" t="s">
        <v>24</v>
      </c>
      <c r="C241" s="1">
        <v>45211.669444444444</v>
      </c>
      <c r="D241" t="s">
        <v>17</v>
      </c>
      <c r="E241" s="1">
        <v>45211.694444444445</v>
      </c>
      <c r="F241" t="str">
        <f>VLOOKUP(C241,Продукт!$C$2:$D$568,2,0)</f>
        <v>Jazz</v>
      </c>
      <c r="G241" s="2">
        <f t="shared" si="3"/>
        <v>36.000000002095476</v>
      </c>
    </row>
    <row r="242" spans="1:7">
      <c r="A242" t="s">
        <v>11</v>
      </c>
      <c r="B242" t="s">
        <v>25</v>
      </c>
      <c r="C242" s="1">
        <v>45211.680555555555</v>
      </c>
      <c r="D242" t="s">
        <v>17</v>
      </c>
      <c r="E242" s="1">
        <v>45211.822916666664</v>
      </c>
      <c r="F242" t="str">
        <f>VLOOKUP(C242,Продукт!$C$2:$D$568,2,0)</f>
        <v>SaluteSpeech</v>
      </c>
      <c r="G242" s="2">
        <f t="shared" si="3"/>
        <v>204.99999999767169</v>
      </c>
    </row>
    <row r="243" spans="1:7">
      <c r="A243" t="s">
        <v>10</v>
      </c>
      <c r="B243" t="s">
        <v>24</v>
      </c>
      <c r="C243" s="1">
        <v>45211.681944444441</v>
      </c>
      <c r="D243" t="s">
        <v>17</v>
      </c>
      <c r="E243" s="1">
        <v>45211.71597222222</v>
      </c>
      <c r="F243" t="str">
        <f>VLOOKUP(C243,Продукт!$C$2:$D$568,2,0)</f>
        <v>Jazz</v>
      </c>
      <c r="G243" s="2">
        <f t="shared" si="3"/>
        <v>49.000000002561137</v>
      </c>
    </row>
    <row r="244" spans="1:7">
      <c r="A244" t="s">
        <v>7</v>
      </c>
      <c r="B244" t="s">
        <v>25</v>
      </c>
      <c r="C244" s="1">
        <v>45211.806250000001</v>
      </c>
      <c r="D244" t="s">
        <v>17</v>
      </c>
      <c r="E244" s="1">
        <v>45211.819444444445</v>
      </c>
      <c r="F244" t="str">
        <f>VLOOKUP(C244,Продукт!$C$2:$D$568,2,0)</f>
        <v>SaluteSpeech</v>
      </c>
      <c r="G244" s="2">
        <f t="shared" si="3"/>
        <v>18.999999999068677</v>
      </c>
    </row>
    <row r="245" spans="1:7">
      <c r="A245" t="s">
        <v>7</v>
      </c>
      <c r="B245" t="s">
        <v>25</v>
      </c>
      <c r="C245" s="1">
        <v>45211.808333333334</v>
      </c>
      <c r="D245" t="s">
        <v>17</v>
      </c>
      <c r="E245" s="1">
        <v>45211.816666666666</v>
      </c>
      <c r="F245" t="str">
        <f>VLOOKUP(C245,Продукт!$C$2:$D$568,2,0)</f>
        <v>Jazz</v>
      </c>
      <c r="G245" s="2">
        <f t="shared" si="3"/>
        <v>11.999999997206032</v>
      </c>
    </row>
    <row r="246" spans="1:7">
      <c r="A246" t="s">
        <v>11</v>
      </c>
      <c r="B246" t="s">
        <v>25</v>
      </c>
      <c r="C246" s="1">
        <v>45211.829861111109</v>
      </c>
      <c r="D246" t="s">
        <v>17</v>
      </c>
      <c r="E246" s="1">
        <v>45211.838888888888</v>
      </c>
      <c r="F246" t="str">
        <f>VLOOKUP(C246,Продукт!$C$2:$D$568,2,0)</f>
        <v>SaluteSpeech</v>
      </c>
      <c r="G246" s="2">
        <f t="shared" si="3"/>
        <v>13.000000000465661</v>
      </c>
    </row>
    <row r="247" spans="1:7">
      <c r="A247" t="s">
        <v>5</v>
      </c>
      <c r="B247" t="s">
        <v>25</v>
      </c>
      <c r="C247" s="1">
        <v>45211.859722222223</v>
      </c>
      <c r="D247" t="s">
        <v>17</v>
      </c>
      <c r="E247" s="1">
        <v>45211.865277777775</v>
      </c>
      <c r="F247" t="str">
        <f>VLOOKUP(C247,Продукт!$C$2:$D$568,2,0)</f>
        <v>SaluteSpeech</v>
      </c>
      <c r="G247" s="2">
        <f t="shared" si="3"/>
        <v>7.9999999946448952</v>
      </c>
    </row>
    <row r="248" spans="1:7">
      <c r="A248" t="s">
        <v>10</v>
      </c>
      <c r="B248" t="s">
        <v>25</v>
      </c>
      <c r="C248" s="1">
        <v>45211.894444444442</v>
      </c>
      <c r="D248" t="s">
        <v>17</v>
      </c>
      <c r="E248" s="1">
        <v>45212.554861111108</v>
      </c>
      <c r="F248" t="str">
        <f>VLOOKUP(C248,Продукт!$C$2:$D$568,2,0)</f>
        <v>Jazz</v>
      </c>
      <c r="G248" s="2">
        <f t="shared" si="3"/>
        <v>950.99999999860302</v>
      </c>
    </row>
    <row r="249" spans="1:7">
      <c r="A249" t="s">
        <v>5</v>
      </c>
      <c r="B249" t="s">
        <v>25</v>
      </c>
      <c r="C249" s="1">
        <v>45211.941666666666</v>
      </c>
      <c r="D249" t="s">
        <v>17</v>
      </c>
      <c r="E249" s="1">
        <v>45212.557638888888</v>
      </c>
      <c r="F249" t="str">
        <f>VLOOKUP(C249,Продукт!$C$2:$D$568,2,0)</f>
        <v>Jazz</v>
      </c>
      <c r="G249" s="2">
        <f t="shared" si="3"/>
        <v>886.99999999953434</v>
      </c>
    </row>
    <row r="250" spans="1:7">
      <c r="A250" t="s">
        <v>11</v>
      </c>
      <c r="B250" t="s">
        <v>24</v>
      </c>
      <c r="C250" s="1">
        <v>45212.035416666666</v>
      </c>
      <c r="D250" t="s">
        <v>17</v>
      </c>
      <c r="E250" s="1">
        <v>45212.591666666667</v>
      </c>
      <c r="F250" t="str">
        <f>VLOOKUP(C250,Продукт!$C$2:$D$568,2,0)</f>
        <v>SaluteBot</v>
      </c>
      <c r="G250" s="2">
        <f t="shared" si="3"/>
        <v>801.00000000209548</v>
      </c>
    </row>
    <row r="251" spans="1:7">
      <c r="A251" t="s">
        <v>10</v>
      </c>
      <c r="B251" t="s">
        <v>24</v>
      </c>
      <c r="C251" s="1">
        <v>45212.411111111112</v>
      </c>
      <c r="D251" t="s">
        <v>17</v>
      </c>
      <c r="E251" s="1">
        <v>45212.500694444447</v>
      </c>
      <c r="F251" t="str">
        <f>VLOOKUP(C251,Продукт!$C$2:$D$568,2,0)</f>
        <v>Jazz</v>
      </c>
      <c r="G251" s="2">
        <f t="shared" si="3"/>
        <v>129.00000000139698</v>
      </c>
    </row>
    <row r="252" spans="1:7">
      <c r="A252" t="s">
        <v>5</v>
      </c>
      <c r="B252" t="s">
        <v>24</v>
      </c>
      <c r="C252" s="1">
        <v>45212.468055555553</v>
      </c>
      <c r="D252" t="s">
        <v>17</v>
      </c>
      <c r="E252" s="1">
        <v>45212.490972222222</v>
      </c>
      <c r="F252" t="str">
        <f>VLOOKUP(C252,Продукт!$C$2:$D$568,2,0)</f>
        <v>SaluteBot</v>
      </c>
      <c r="G252" s="2">
        <f t="shared" si="3"/>
        <v>33.000000002793968</v>
      </c>
    </row>
    <row r="253" spans="1:7">
      <c r="A253" t="s">
        <v>10</v>
      </c>
      <c r="B253" t="s">
        <v>25</v>
      </c>
      <c r="C253" s="1">
        <v>45212.546527777777</v>
      </c>
      <c r="D253" t="s">
        <v>17</v>
      </c>
      <c r="E253" s="1">
        <v>45212.552777777775</v>
      </c>
      <c r="F253" t="str">
        <f>VLOOKUP(C253,Продукт!$C$2:$D$568,2,0)</f>
        <v>Jazz</v>
      </c>
      <c r="G253" s="2">
        <f t="shared" si="3"/>
        <v>8.9999999979045242</v>
      </c>
    </row>
    <row r="254" spans="1:7">
      <c r="A254" t="s">
        <v>10</v>
      </c>
      <c r="B254" t="s">
        <v>25</v>
      </c>
      <c r="C254" s="1">
        <v>45212.547222222223</v>
      </c>
      <c r="D254" t="s">
        <v>17</v>
      </c>
      <c r="E254" s="1">
        <v>45212.559027777781</v>
      </c>
      <c r="F254" t="str">
        <f>VLOOKUP(C254,Продукт!$C$2:$D$568,2,0)</f>
        <v>SaluteBot</v>
      </c>
      <c r="G254" s="2">
        <f t="shared" si="3"/>
        <v>17.000000003026798</v>
      </c>
    </row>
    <row r="255" spans="1:7">
      <c r="A255" t="s">
        <v>10</v>
      </c>
      <c r="B255" t="s">
        <v>24</v>
      </c>
      <c r="C255" s="1">
        <v>45212.563194444447</v>
      </c>
      <c r="D255" t="s">
        <v>17</v>
      </c>
      <c r="E255" s="1">
        <v>45212.584027777775</v>
      </c>
      <c r="F255" t="str">
        <f>VLOOKUP(C255,Продукт!$C$2:$D$568,2,0)</f>
        <v>Jazz</v>
      </c>
      <c r="G255" s="2">
        <f t="shared" si="3"/>
        <v>29.999999993015081</v>
      </c>
    </row>
    <row r="256" spans="1:7">
      <c r="A256" t="s">
        <v>6</v>
      </c>
      <c r="B256" t="s">
        <v>24</v>
      </c>
      <c r="C256" s="1">
        <v>45212.630555555559</v>
      </c>
      <c r="D256" t="s">
        <v>17</v>
      </c>
      <c r="E256" s="1">
        <v>45212.693749999999</v>
      </c>
      <c r="F256" t="str">
        <f>VLOOKUP(C256,Продукт!$C$2:$D$568,2,0)</f>
        <v>SaluteSpeech</v>
      </c>
      <c r="G256" s="2">
        <f t="shared" si="3"/>
        <v>90.99999999278225</v>
      </c>
    </row>
    <row r="257" spans="1:7">
      <c r="A257" t="s">
        <v>9</v>
      </c>
      <c r="B257" t="s">
        <v>25</v>
      </c>
      <c r="C257" s="1">
        <v>45212.634722222225</v>
      </c>
      <c r="D257" t="s">
        <v>17</v>
      </c>
      <c r="E257" s="1">
        <v>45212.65347222222</v>
      </c>
      <c r="F257" t="str">
        <f>VLOOKUP(C257,Продукт!$C$2:$D$568,2,0)</f>
        <v>SaluteSpeech</v>
      </c>
      <c r="G257" s="2">
        <f t="shared" si="3"/>
        <v>26.999999993713573</v>
      </c>
    </row>
    <row r="258" spans="1:7">
      <c r="A258" t="s">
        <v>11</v>
      </c>
      <c r="B258" t="s">
        <v>24</v>
      </c>
      <c r="C258" s="1">
        <v>45212.679861111108</v>
      </c>
      <c r="D258" t="s">
        <v>17</v>
      </c>
      <c r="E258" s="1">
        <v>45212.681944444441</v>
      </c>
      <c r="F258" t="str">
        <f>VLOOKUP(C258,Продукт!$C$2:$D$568,2,0)</f>
        <v>SaluteBot</v>
      </c>
      <c r="G258" s="2">
        <f t="shared" si="3"/>
        <v>2.9999999993015081</v>
      </c>
    </row>
    <row r="259" spans="1:7">
      <c r="A259" t="s">
        <v>5</v>
      </c>
      <c r="B259" t="s">
        <v>24</v>
      </c>
      <c r="C259" s="1">
        <v>45212.684027777781</v>
      </c>
      <c r="D259" t="s">
        <v>17</v>
      </c>
      <c r="E259" s="1">
        <v>45212.68472222222</v>
      </c>
      <c r="F259" t="str">
        <f>VLOOKUP(C259,Продукт!$C$2:$D$568,2,0)</f>
        <v>Jazz</v>
      </c>
      <c r="G259" s="2">
        <f t="shared" ref="G259:G322" si="4">(E259-C259)*60*24</f>
        <v>0.99999999278225005</v>
      </c>
    </row>
    <row r="260" spans="1:7">
      <c r="A260" t="s">
        <v>5</v>
      </c>
      <c r="B260" t="s">
        <v>24</v>
      </c>
      <c r="C260" s="1">
        <v>45212.68472222222</v>
      </c>
      <c r="D260" t="s">
        <v>17</v>
      </c>
      <c r="E260" s="1">
        <v>45212.685416666667</v>
      </c>
      <c r="F260" t="str">
        <f>VLOOKUP(C260,Продукт!$C$2:$D$568,2,0)</f>
        <v>Jazz</v>
      </c>
      <c r="G260" s="2">
        <f t="shared" si="4"/>
        <v>1.000000003259629</v>
      </c>
    </row>
    <row r="261" spans="1:7">
      <c r="A261" t="s">
        <v>5</v>
      </c>
      <c r="B261" t="s">
        <v>24</v>
      </c>
      <c r="C261" s="1">
        <v>45212.685416666667</v>
      </c>
      <c r="D261" t="s">
        <v>17</v>
      </c>
      <c r="E261" s="1">
        <v>45212.686111111114</v>
      </c>
      <c r="F261" t="str">
        <f>VLOOKUP(C261,Продукт!$C$2:$D$568,2,0)</f>
        <v>Jazz</v>
      </c>
      <c r="G261" s="2">
        <f t="shared" si="4"/>
        <v>1.000000003259629</v>
      </c>
    </row>
    <row r="262" spans="1:7">
      <c r="A262" t="s">
        <v>5</v>
      </c>
      <c r="B262" t="s">
        <v>24</v>
      </c>
      <c r="C262" s="1">
        <v>45212.686111111114</v>
      </c>
      <c r="D262" t="s">
        <v>17</v>
      </c>
      <c r="E262" s="1">
        <v>45212.686805555553</v>
      </c>
      <c r="F262" t="str">
        <f>VLOOKUP(C262,Продукт!$C$2:$D$568,2,0)</f>
        <v>Jazz</v>
      </c>
      <c r="G262" s="2">
        <f t="shared" si="4"/>
        <v>0.99999999278225005</v>
      </c>
    </row>
    <row r="263" spans="1:7">
      <c r="A263" t="s">
        <v>5</v>
      </c>
      <c r="B263" t="s">
        <v>24</v>
      </c>
      <c r="C263" s="1">
        <v>45212.686805555553</v>
      </c>
      <c r="D263" t="s">
        <v>17</v>
      </c>
      <c r="E263" s="1">
        <v>45212.6875</v>
      </c>
      <c r="F263" t="str">
        <f>VLOOKUP(C263,Продукт!$C$2:$D$568,2,0)</f>
        <v>Jazz</v>
      </c>
      <c r="G263" s="2">
        <f t="shared" si="4"/>
        <v>1.000000003259629</v>
      </c>
    </row>
    <row r="264" spans="1:7">
      <c r="A264" t="s">
        <v>5</v>
      </c>
      <c r="B264" t="s">
        <v>24</v>
      </c>
      <c r="C264" s="1">
        <v>45212.6875</v>
      </c>
      <c r="D264" t="s">
        <v>17</v>
      </c>
      <c r="E264" s="1">
        <v>45212.688888888886</v>
      </c>
      <c r="F264" t="str">
        <f>VLOOKUP(C264,Продукт!$C$2:$D$568,2,0)</f>
        <v>Jazz</v>
      </c>
      <c r="G264" s="2">
        <f t="shared" si="4"/>
        <v>1.9999999960418791</v>
      </c>
    </row>
    <row r="265" spans="1:7">
      <c r="A265" t="s">
        <v>5</v>
      </c>
      <c r="B265" t="s">
        <v>24</v>
      </c>
      <c r="C265" s="1">
        <v>45212.688194444447</v>
      </c>
      <c r="D265" t="s">
        <v>17</v>
      </c>
      <c r="E265" s="1">
        <v>45212.689583333333</v>
      </c>
      <c r="F265" t="str">
        <f>VLOOKUP(C265,Продукт!$C$2:$D$568,2,0)</f>
        <v>Jazz</v>
      </c>
      <c r="G265" s="2">
        <f t="shared" si="4"/>
        <v>1.9999999960418791</v>
      </c>
    </row>
    <row r="266" spans="1:7">
      <c r="A266" t="s">
        <v>5</v>
      </c>
      <c r="B266" t="s">
        <v>24</v>
      </c>
      <c r="C266" s="1">
        <v>45212.688194444447</v>
      </c>
      <c r="D266" t="s">
        <v>17</v>
      </c>
      <c r="E266" s="1">
        <v>45212.689583333333</v>
      </c>
      <c r="F266" t="str">
        <f>VLOOKUP(C266,Продукт!$C$2:$D$568,2,0)</f>
        <v>Jazz</v>
      </c>
      <c r="G266" s="2">
        <f t="shared" si="4"/>
        <v>1.9999999960418791</v>
      </c>
    </row>
    <row r="267" spans="1:7">
      <c r="A267" t="s">
        <v>5</v>
      </c>
      <c r="B267" t="s">
        <v>24</v>
      </c>
      <c r="C267" s="1">
        <v>45212.688888888886</v>
      </c>
      <c r="D267" t="s">
        <v>17</v>
      </c>
      <c r="E267" s="1">
        <v>45212.69027777778</v>
      </c>
      <c r="F267" t="str">
        <f>VLOOKUP(C267,Продукт!$C$2:$D$568,2,0)</f>
        <v>Jazz</v>
      </c>
      <c r="G267" s="2">
        <f t="shared" si="4"/>
        <v>2.000000006519258</v>
      </c>
    </row>
    <row r="268" spans="1:7">
      <c r="A268" t="s">
        <v>5</v>
      </c>
      <c r="B268" t="s">
        <v>24</v>
      </c>
      <c r="C268" s="1">
        <v>45212.689583333333</v>
      </c>
      <c r="D268" t="s">
        <v>17</v>
      </c>
      <c r="E268" s="1">
        <v>45212.690972222219</v>
      </c>
      <c r="F268" t="str">
        <f>VLOOKUP(C268,Продукт!$C$2:$D$568,2,0)</f>
        <v>Jazz</v>
      </c>
      <c r="G268" s="2">
        <f t="shared" si="4"/>
        <v>1.9999999960418791</v>
      </c>
    </row>
    <row r="269" spans="1:7">
      <c r="A269" t="s">
        <v>11</v>
      </c>
      <c r="B269" t="s">
        <v>25</v>
      </c>
      <c r="C269" s="1">
        <v>45212.713194444441</v>
      </c>
      <c r="D269" t="s">
        <v>17</v>
      </c>
      <c r="E269" s="1">
        <v>45212.720833333333</v>
      </c>
      <c r="F269" t="str">
        <f>VLOOKUP(C269,Продукт!$C$2:$D$568,2,0)</f>
        <v>SaluteBot</v>
      </c>
      <c r="G269" s="2">
        <f t="shared" si="4"/>
        <v>11.000000004423782</v>
      </c>
    </row>
    <row r="270" spans="1:7">
      <c r="A270" t="s">
        <v>3</v>
      </c>
      <c r="B270" t="s">
        <v>24</v>
      </c>
      <c r="C270" s="1">
        <v>45212.720833333333</v>
      </c>
      <c r="D270" t="s">
        <v>17</v>
      </c>
      <c r="E270" s="1">
        <v>45212.731249999997</v>
      </c>
      <c r="F270" t="str">
        <f>VLOOKUP(C270,Продукт!$C$2:$D$568,2,0)</f>
        <v>SaluteBot</v>
      </c>
      <c r="G270" s="2">
        <f t="shared" si="4"/>
        <v>14.99999999650754</v>
      </c>
    </row>
    <row r="271" spans="1:7">
      <c r="A271" t="s">
        <v>5</v>
      </c>
      <c r="B271" t="s">
        <v>25</v>
      </c>
      <c r="C271" s="1">
        <v>45212.725694444445</v>
      </c>
      <c r="D271" t="s">
        <v>17</v>
      </c>
      <c r="E271" s="1">
        <v>45212.734027777777</v>
      </c>
      <c r="F271" t="str">
        <f>VLOOKUP(C271,Продукт!$C$2:$D$568,2,0)</f>
        <v>Jazz</v>
      </c>
      <c r="G271" s="2">
        <f t="shared" si="4"/>
        <v>11.999999997206032</v>
      </c>
    </row>
    <row r="272" spans="1:7">
      <c r="A272" t="s">
        <v>9</v>
      </c>
      <c r="B272" t="s">
        <v>25</v>
      </c>
      <c r="C272" s="1">
        <v>45212.752083333333</v>
      </c>
      <c r="D272" t="s">
        <v>17</v>
      </c>
      <c r="E272" s="1">
        <v>45212.760416666664</v>
      </c>
      <c r="F272" t="str">
        <f>VLOOKUP(C272,Продукт!$C$2:$D$568,2,0)</f>
        <v>Jazz</v>
      </c>
      <c r="G272" s="2">
        <f t="shared" si="4"/>
        <v>11.999999997206032</v>
      </c>
    </row>
    <row r="273" spans="1:7">
      <c r="A273" t="s">
        <v>6</v>
      </c>
      <c r="B273" t="s">
        <v>24</v>
      </c>
      <c r="C273" s="1">
        <v>45212.873611111114</v>
      </c>
      <c r="D273" t="s">
        <v>17</v>
      </c>
      <c r="E273" s="1">
        <v>45215.625694444447</v>
      </c>
      <c r="F273" t="str">
        <f>VLOOKUP(C273,Продукт!$C$2:$D$568,2,0)</f>
        <v>SaluteSpeech</v>
      </c>
      <c r="G273" s="2">
        <f t="shared" si="4"/>
        <v>3962.9999999993015</v>
      </c>
    </row>
    <row r="274" spans="1:7">
      <c r="A274" t="s">
        <v>7</v>
      </c>
      <c r="B274" t="s">
        <v>24</v>
      </c>
      <c r="C274" s="1">
        <v>45213.539583333331</v>
      </c>
      <c r="D274" t="s">
        <v>17</v>
      </c>
      <c r="E274" s="1">
        <v>45215.635416666664</v>
      </c>
      <c r="F274" t="str">
        <f>VLOOKUP(C274,Продукт!$C$2:$D$568,2,0)</f>
        <v>SaluteSpeech</v>
      </c>
      <c r="G274" s="2">
        <f t="shared" si="4"/>
        <v>3017.9999999993015</v>
      </c>
    </row>
    <row r="275" spans="1:7">
      <c r="A275" t="s">
        <v>5</v>
      </c>
      <c r="B275" t="s">
        <v>25</v>
      </c>
      <c r="C275" s="1">
        <v>45213.635416666664</v>
      </c>
      <c r="D275" t="s">
        <v>17</v>
      </c>
      <c r="E275" s="1">
        <v>45215.62777777778</v>
      </c>
      <c r="F275" t="str">
        <f>VLOOKUP(C275,Продукт!$C$2:$D$568,2,0)</f>
        <v>SaluteBot</v>
      </c>
      <c r="G275" s="2">
        <f t="shared" si="4"/>
        <v>2869.0000000060536</v>
      </c>
    </row>
    <row r="276" spans="1:7">
      <c r="A276" t="s">
        <v>5</v>
      </c>
      <c r="B276" t="s">
        <v>24</v>
      </c>
      <c r="C276" s="1">
        <v>45213.700694444444</v>
      </c>
      <c r="D276" t="s">
        <v>17</v>
      </c>
      <c r="E276" s="1">
        <v>45215.629861111112</v>
      </c>
      <c r="F276" t="str">
        <f>VLOOKUP(C276,Продукт!$C$2:$D$568,2,0)</f>
        <v>SaluteBot</v>
      </c>
      <c r="G276" s="2">
        <f t="shared" si="4"/>
        <v>2778.000000002794</v>
      </c>
    </row>
    <row r="277" spans="1:7">
      <c r="A277" t="s">
        <v>7</v>
      </c>
      <c r="B277" t="s">
        <v>24</v>
      </c>
      <c r="C277" s="1">
        <v>45213.714583333334</v>
      </c>
      <c r="D277" t="s">
        <v>17</v>
      </c>
      <c r="E277" s="1">
        <v>45215.615972222222</v>
      </c>
      <c r="F277" t="str">
        <f>VLOOKUP(C277,Продукт!$C$2:$D$568,2,0)</f>
        <v>Jazz</v>
      </c>
      <c r="G277" s="2">
        <f t="shared" si="4"/>
        <v>2737.9999999981374</v>
      </c>
    </row>
    <row r="278" spans="1:7">
      <c r="A278" t="s">
        <v>11</v>
      </c>
      <c r="B278" t="s">
        <v>25</v>
      </c>
      <c r="C278" s="1">
        <v>45213.834027777775</v>
      </c>
      <c r="D278" t="s">
        <v>17</v>
      </c>
      <c r="E278" s="1">
        <v>45215.640972222223</v>
      </c>
      <c r="F278" t="str">
        <f>VLOOKUP(C278,Продукт!$C$2:$D$568,2,0)</f>
        <v>SaluteSpeech</v>
      </c>
      <c r="G278" s="2">
        <f t="shared" si="4"/>
        <v>2602.0000000053551</v>
      </c>
    </row>
    <row r="279" spans="1:7">
      <c r="A279" t="s">
        <v>5</v>
      </c>
      <c r="B279" t="s">
        <v>25</v>
      </c>
      <c r="C279" s="1">
        <v>45213.9375</v>
      </c>
      <c r="D279" t="s">
        <v>17</v>
      </c>
      <c r="E279" s="1">
        <v>45215.647222222222</v>
      </c>
      <c r="F279" t="str">
        <f>VLOOKUP(C279,Продукт!$C$2:$D$568,2,0)</f>
        <v>SaluteSpeech</v>
      </c>
      <c r="G279" s="2">
        <f t="shared" si="4"/>
        <v>2461.9999999995343</v>
      </c>
    </row>
    <row r="280" spans="1:7">
      <c r="A280" t="s">
        <v>9</v>
      </c>
      <c r="B280" t="s">
        <v>25</v>
      </c>
      <c r="C280" s="1">
        <v>45214.540972222225</v>
      </c>
      <c r="D280" t="s">
        <v>17</v>
      </c>
      <c r="E280" s="1">
        <v>45215.500694444447</v>
      </c>
      <c r="F280" t="str">
        <f>VLOOKUP(C280,Продукт!$C$2:$D$568,2,0)</f>
        <v>SaluteBot</v>
      </c>
      <c r="G280" s="2">
        <f t="shared" si="4"/>
        <v>1381.9999999995343</v>
      </c>
    </row>
    <row r="281" spans="1:7">
      <c r="A281" t="s">
        <v>5</v>
      </c>
      <c r="B281" t="s">
        <v>24</v>
      </c>
      <c r="C281" s="1">
        <v>45214.759027777778</v>
      </c>
      <c r="D281" t="s">
        <v>17</v>
      </c>
      <c r="E281" s="1">
        <v>45215.633333333331</v>
      </c>
      <c r="F281" t="str">
        <f>VLOOKUP(C281,Продукт!$C$2:$D$568,2,0)</f>
        <v>SaluteBot</v>
      </c>
      <c r="G281" s="2">
        <f t="shared" si="4"/>
        <v>1258.9999999967404</v>
      </c>
    </row>
    <row r="282" spans="1:7">
      <c r="A282" t="s">
        <v>11</v>
      </c>
      <c r="B282" t="s">
        <v>25</v>
      </c>
      <c r="C282" s="1">
        <v>45214.918055555558</v>
      </c>
      <c r="D282" t="s">
        <v>17</v>
      </c>
      <c r="E282" s="1">
        <v>45215.645833333336</v>
      </c>
      <c r="F282" t="str">
        <f>VLOOKUP(C282,Продукт!$C$2:$D$568,2,0)</f>
        <v>SaluteBot</v>
      </c>
      <c r="G282" s="2">
        <f t="shared" si="4"/>
        <v>1048.0000000004657</v>
      </c>
    </row>
    <row r="283" spans="1:7">
      <c r="A283" t="s">
        <v>5</v>
      </c>
      <c r="B283" t="s">
        <v>25</v>
      </c>
      <c r="C283" s="1">
        <v>45215.097222222219</v>
      </c>
      <c r="D283" t="s">
        <v>17</v>
      </c>
      <c r="E283" s="1">
        <v>45215.62222222222</v>
      </c>
      <c r="F283" t="str">
        <f>VLOOKUP(C283,Продукт!$C$2:$D$568,2,0)</f>
        <v>SaluteBot</v>
      </c>
      <c r="G283" s="2">
        <f t="shared" si="4"/>
        <v>756.00000000209548</v>
      </c>
    </row>
    <row r="284" spans="1:7">
      <c r="A284" t="s">
        <v>11</v>
      </c>
      <c r="B284" t="s">
        <v>25</v>
      </c>
      <c r="C284" s="1">
        <v>45215.106249999997</v>
      </c>
      <c r="D284" t="s">
        <v>17</v>
      </c>
      <c r="E284" s="1">
        <v>45215.65902777778</v>
      </c>
      <c r="F284" t="str">
        <f>VLOOKUP(C284,Продукт!$C$2:$D$568,2,0)</f>
        <v>SaluteSpeech</v>
      </c>
      <c r="G284" s="2">
        <f t="shared" si="4"/>
        <v>796.00000000675209</v>
      </c>
    </row>
    <row r="285" spans="1:7">
      <c r="A285" t="s">
        <v>10</v>
      </c>
      <c r="B285" t="s">
        <v>25</v>
      </c>
      <c r="C285" s="1">
        <v>45215.334027777775</v>
      </c>
      <c r="D285" t="s">
        <v>17</v>
      </c>
      <c r="E285" s="1">
        <v>45215.500694444447</v>
      </c>
      <c r="F285" t="str">
        <f>VLOOKUP(C285,Продукт!$C$2:$D$568,2,0)</f>
        <v>Jazz</v>
      </c>
      <c r="G285" s="2">
        <f t="shared" si="4"/>
        <v>240.00000000698492</v>
      </c>
    </row>
    <row r="286" spans="1:7">
      <c r="A286" t="s">
        <v>10</v>
      </c>
      <c r="B286" t="s">
        <v>25</v>
      </c>
      <c r="C286" s="1">
        <v>45215.465277777781</v>
      </c>
      <c r="D286" t="s">
        <v>17</v>
      </c>
      <c r="E286" s="1">
        <v>45215.500694444447</v>
      </c>
      <c r="F286" t="str">
        <f>VLOOKUP(C286,Продукт!$C$2:$D$568,2,0)</f>
        <v>SaluteBot</v>
      </c>
      <c r="G286" s="2">
        <f t="shared" si="4"/>
        <v>50.999999998603016</v>
      </c>
    </row>
    <row r="287" spans="1:7">
      <c r="A287" t="s">
        <v>5</v>
      </c>
      <c r="B287" t="s">
        <v>24</v>
      </c>
      <c r="C287" s="1">
        <v>45215.513194444444</v>
      </c>
      <c r="D287" t="s">
        <v>17</v>
      </c>
      <c r="E287" s="1">
        <v>45215.522222222222</v>
      </c>
      <c r="F287" t="str">
        <f>VLOOKUP(C287,Продукт!$C$2:$D$568,2,0)</f>
        <v>SaluteBot</v>
      </c>
      <c r="G287" s="2">
        <f t="shared" si="4"/>
        <v>13.000000000465661</v>
      </c>
    </row>
    <row r="288" spans="1:7">
      <c r="A288" t="s">
        <v>1</v>
      </c>
      <c r="B288" t="s">
        <v>24</v>
      </c>
      <c r="C288" s="1">
        <v>45215.572916666664</v>
      </c>
      <c r="D288" t="s">
        <v>17</v>
      </c>
      <c r="E288" s="1">
        <v>45215.609027777777</v>
      </c>
      <c r="F288" t="str">
        <f>VLOOKUP(C288,Продукт!$C$2:$D$568,2,0)</f>
        <v>Jazz</v>
      </c>
      <c r="G288" s="2">
        <f t="shared" si="4"/>
        <v>52.000000001862645</v>
      </c>
    </row>
    <row r="289" spans="1:7">
      <c r="A289" t="s">
        <v>11</v>
      </c>
      <c r="B289" t="s">
        <v>25</v>
      </c>
      <c r="C289" s="1">
        <v>45215.575694444444</v>
      </c>
      <c r="D289" t="s">
        <v>17</v>
      </c>
      <c r="E289" s="1">
        <v>45215.602777777778</v>
      </c>
      <c r="F289" t="str">
        <f>VLOOKUP(C289,Продукт!$C$2:$D$568,2,0)</f>
        <v>SaluteBot</v>
      </c>
      <c r="G289" s="2">
        <f t="shared" si="4"/>
        <v>39.000000001396984</v>
      </c>
    </row>
    <row r="290" spans="1:7">
      <c r="A290" t="s">
        <v>3</v>
      </c>
      <c r="B290" t="s">
        <v>25</v>
      </c>
      <c r="C290" s="1">
        <v>45215.577777777777</v>
      </c>
      <c r="D290" t="s">
        <v>17</v>
      </c>
      <c r="E290" s="1">
        <v>45215.605555555558</v>
      </c>
      <c r="F290" t="str">
        <f>VLOOKUP(C290,Продукт!$C$2:$D$568,2,0)</f>
        <v>SaluteBot</v>
      </c>
      <c r="G290" s="2">
        <f t="shared" si="4"/>
        <v>40.000000004656613</v>
      </c>
    </row>
    <row r="291" spans="1:7">
      <c r="A291" t="s">
        <v>3</v>
      </c>
      <c r="B291" t="s">
        <v>25</v>
      </c>
      <c r="C291" s="1">
        <v>45215.581944444442</v>
      </c>
      <c r="D291" t="s">
        <v>17</v>
      </c>
      <c r="E291" s="1">
        <v>45215.612500000003</v>
      </c>
      <c r="F291" t="str">
        <f>VLOOKUP(C291,Продукт!$C$2:$D$568,2,0)</f>
        <v>SaluteBot</v>
      </c>
      <c r="G291" s="2">
        <f t="shared" si="4"/>
        <v>44.00000000721775</v>
      </c>
    </row>
    <row r="292" spans="1:7">
      <c r="A292" t="s">
        <v>6</v>
      </c>
      <c r="B292" t="s">
        <v>24</v>
      </c>
      <c r="C292" s="1">
        <v>45215.595833333333</v>
      </c>
      <c r="D292" t="s">
        <v>17</v>
      </c>
      <c r="E292" s="1">
        <v>45215.611805555556</v>
      </c>
      <c r="F292" t="str">
        <f>VLOOKUP(C292,Продукт!$C$2:$D$568,2,0)</f>
        <v>SaluteSpeech</v>
      </c>
      <c r="G292" s="2">
        <f t="shared" si="4"/>
        <v>23.000000001629815</v>
      </c>
    </row>
    <row r="293" spans="1:7">
      <c r="A293" t="s">
        <v>9</v>
      </c>
      <c r="B293" t="s">
        <v>24</v>
      </c>
      <c r="C293" s="1">
        <v>45215.612500000003</v>
      </c>
      <c r="D293" t="s">
        <v>17</v>
      </c>
      <c r="E293" s="1">
        <v>45215.643750000003</v>
      </c>
      <c r="F293" t="str">
        <f>VLOOKUP(C293,Продукт!$C$2:$D$568,2,0)</f>
        <v>SaluteSpeech</v>
      </c>
      <c r="G293" s="2">
        <f t="shared" si="4"/>
        <v>45</v>
      </c>
    </row>
    <row r="294" spans="1:7">
      <c r="A294" t="s">
        <v>5</v>
      </c>
      <c r="B294" t="s">
        <v>24</v>
      </c>
      <c r="C294" s="1">
        <v>45215.638194444444</v>
      </c>
      <c r="D294" t="s">
        <v>17</v>
      </c>
      <c r="E294" s="1">
        <v>45215.668055555558</v>
      </c>
      <c r="F294" t="str">
        <f>VLOOKUP(C294,Продукт!$C$2:$D$568,2,0)</f>
        <v>SaluteBot</v>
      </c>
      <c r="G294" s="2">
        <f t="shared" si="4"/>
        <v>43.000000003958121</v>
      </c>
    </row>
    <row r="295" spans="1:7">
      <c r="A295" t="s">
        <v>5</v>
      </c>
      <c r="B295" t="s">
        <v>24</v>
      </c>
      <c r="C295" s="1">
        <v>45215.63958333333</v>
      </c>
      <c r="D295" t="s">
        <v>17</v>
      </c>
      <c r="E295" s="1">
        <v>45215.640972222223</v>
      </c>
      <c r="F295" t="str">
        <f>VLOOKUP(C295,Продукт!$C$2:$D$568,2,0)</f>
        <v>SaluteBot</v>
      </c>
      <c r="G295" s="2">
        <f t="shared" si="4"/>
        <v>2.000000006519258</v>
      </c>
    </row>
    <row r="296" spans="1:7">
      <c r="A296" t="s">
        <v>5</v>
      </c>
      <c r="B296" t="s">
        <v>24</v>
      </c>
      <c r="C296" s="1">
        <v>45215.640972222223</v>
      </c>
      <c r="D296" t="s">
        <v>17</v>
      </c>
      <c r="E296" s="1">
        <v>45215.642361111109</v>
      </c>
      <c r="F296" t="str">
        <f>VLOOKUP(C296,Продукт!$C$2:$D$568,2,0)</f>
        <v>SaluteBot</v>
      </c>
      <c r="G296" s="2">
        <f t="shared" si="4"/>
        <v>1.9999999960418791</v>
      </c>
    </row>
    <row r="297" spans="1:7">
      <c r="A297" t="s">
        <v>5</v>
      </c>
      <c r="B297" t="s">
        <v>24</v>
      </c>
      <c r="C297" s="1">
        <v>45215.65347222222</v>
      </c>
      <c r="D297" t="s">
        <v>17</v>
      </c>
      <c r="E297" s="1">
        <v>45215.654861111114</v>
      </c>
      <c r="F297" t="str">
        <f>VLOOKUP(C297,Продукт!$C$2:$D$568,2,0)</f>
        <v>SaluteBot</v>
      </c>
      <c r="G297" s="2">
        <f t="shared" si="4"/>
        <v>2.000000006519258</v>
      </c>
    </row>
    <row r="298" spans="1:7">
      <c r="A298" t="s">
        <v>11</v>
      </c>
      <c r="B298" t="s">
        <v>24</v>
      </c>
      <c r="C298" s="1">
        <v>45215.654861111114</v>
      </c>
      <c r="D298" t="s">
        <v>17</v>
      </c>
      <c r="E298" s="1">
        <v>45215.655555555553</v>
      </c>
      <c r="F298" t="str">
        <f>VLOOKUP(C298,Продукт!$C$2:$D$568,2,0)</f>
        <v>SaluteBot</v>
      </c>
      <c r="G298" s="2">
        <f t="shared" si="4"/>
        <v>0.99999999278225005</v>
      </c>
    </row>
    <row r="299" spans="1:7">
      <c r="A299" t="s">
        <v>5</v>
      </c>
      <c r="B299" t="s">
        <v>24</v>
      </c>
      <c r="C299" s="1">
        <v>45215.656944444447</v>
      </c>
      <c r="D299" t="s">
        <v>17</v>
      </c>
      <c r="E299" s="1">
        <v>45215.657638888886</v>
      </c>
      <c r="F299" t="str">
        <f>VLOOKUP(C299,Продукт!$C$2:$D$568,2,0)</f>
        <v>SaluteBot</v>
      </c>
      <c r="G299" s="2">
        <f t="shared" si="4"/>
        <v>0.99999999278225005</v>
      </c>
    </row>
    <row r="300" spans="1:7">
      <c r="A300" t="s">
        <v>11</v>
      </c>
      <c r="B300" t="s">
        <v>24</v>
      </c>
      <c r="C300" s="1">
        <v>45215.684027777781</v>
      </c>
      <c r="D300" t="s">
        <v>17</v>
      </c>
      <c r="E300" s="1">
        <v>45215.69027777778</v>
      </c>
      <c r="F300" t="str">
        <f>VLOOKUP(C300,Продукт!$C$2:$D$568,2,0)</f>
        <v>SaluteSpeech</v>
      </c>
      <c r="G300" s="2">
        <f t="shared" si="4"/>
        <v>8.9999999979045242</v>
      </c>
    </row>
    <row r="301" spans="1:7">
      <c r="A301" t="s">
        <v>1</v>
      </c>
      <c r="B301" t="s">
        <v>24</v>
      </c>
      <c r="C301" s="1">
        <v>45215.695138888892</v>
      </c>
      <c r="D301" t="s">
        <v>17</v>
      </c>
      <c r="E301" s="1">
        <v>45215.717361111114</v>
      </c>
      <c r="F301" t="str">
        <f>VLOOKUP(C301,Продукт!$C$2:$D$568,2,0)</f>
        <v>SaluteBot</v>
      </c>
      <c r="G301" s="2">
        <f t="shared" si="4"/>
        <v>31.999999999534339</v>
      </c>
    </row>
    <row r="302" spans="1:7">
      <c r="A302" t="s">
        <v>3</v>
      </c>
      <c r="B302" t="s">
        <v>25</v>
      </c>
      <c r="C302" s="1">
        <v>45215.695138888892</v>
      </c>
      <c r="D302" t="s">
        <v>17</v>
      </c>
      <c r="E302" s="1">
        <v>45215.716666666667</v>
      </c>
      <c r="F302" t="str">
        <f>VLOOKUP(C302,Продукт!$C$2:$D$568,2,0)</f>
        <v>SaluteBot</v>
      </c>
      <c r="G302" s="2">
        <f t="shared" si="4"/>
        <v>30.99999999627471</v>
      </c>
    </row>
    <row r="303" spans="1:7">
      <c r="A303" t="s">
        <v>10</v>
      </c>
      <c r="B303" t="s">
        <v>25</v>
      </c>
      <c r="C303" s="1">
        <v>45215.702777777777</v>
      </c>
      <c r="D303" t="s">
        <v>17</v>
      </c>
      <c r="E303" s="1">
        <v>45215.725694444445</v>
      </c>
      <c r="F303" t="str">
        <f>VLOOKUP(C303,Продукт!$C$2:$D$568,2,0)</f>
        <v>SaluteBot</v>
      </c>
      <c r="G303" s="2">
        <f t="shared" si="4"/>
        <v>33.000000002793968</v>
      </c>
    </row>
    <row r="304" spans="1:7">
      <c r="A304" t="s">
        <v>12</v>
      </c>
      <c r="B304" t="s">
        <v>25</v>
      </c>
      <c r="C304" s="1">
        <v>45215.730555555558</v>
      </c>
      <c r="D304" t="s">
        <v>17</v>
      </c>
      <c r="E304" s="1">
        <v>45215.742361111108</v>
      </c>
      <c r="F304" t="str">
        <f>VLOOKUP(C304,Продукт!$C$2:$D$568,2,0)</f>
        <v>Jazz</v>
      </c>
      <c r="G304" s="2">
        <f t="shared" si="4"/>
        <v>16.999999992549419</v>
      </c>
    </row>
    <row r="305" spans="1:7">
      <c r="A305" t="s">
        <v>5</v>
      </c>
      <c r="B305" t="s">
        <v>24</v>
      </c>
      <c r="C305" s="1">
        <v>45215.731944444444</v>
      </c>
      <c r="D305" t="s">
        <v>17</v>
      </c>
      <c r="E305" s="1">
        <v>45215.744444444441</v>
      </c>
      <c r="F305" t="str">
        <f>VLOOKUP(C305,Продукт!$C$2:$D$568,2,0)</f>
        <v>SaluteSpeech</v>
      </c>
      <c r="G305" s="2">
        <f t="shared" si="4"/>
        <v>17.999999995809048</v>
      </c>
    </row>
    <row r="306" spans="1:7">
      <c r="A306" t="s">
        <v>12</v>
      </c>
      <c r="B306" t="s">
        <v>24</v>
      </c>
      <c r="C306" s="1">
        <v>45215.753472222219</v>
      </c>
      <c r="D306" t="s">
        <v>17</v>
      </c>
      <c r="E306" s="1">
        <v>45215.757638888892</v>
      </c>
      <c r="F306" t="str">
        <f>VLOOKUP(C306,Продукт!$C$2:$D$568,2,0)</f>
        <v>Jazz</v>
      </c>
      <c r="G306" s="2">
        <f t="shared" si="4"/>
        <v>6.0000000090803951</v>
      </c>
    </row>
    <row r="307" spans="1:7">
      <c r="A307" t="s">
        <v>5</v>
      </c>
      <c r="B307" t="s">
        <v>25</v>
      </c>
      <c r="C307" s="1">
        <v>45215.765277777777</v>
      </c>
      <c r="D307" t="s">
        <v>17</v>
      </c>
      <c r="E307" s="1">
        <v>45215.768750000003</v>
      </c>
      <c r="F307" t="str">
        <f>VLOOKUP(C307,Продукт!$C$2:$D$568,2,0)</f>
        <v>SaluteSpeech</v>
      </c>
      <c r="G307" s="2">
        <f t="shared" si="4"/>
        <v>5.0000000058207661</v>
      </c>
    </row>
    <row r="308" spans="1:7">
      <c r="A308" t="s">
        <v>5</v>
      </c>
      <c r="B308" t="s">
        <v>24</v>
      </c>
      <c r="C308" s="1">
        <v>45215.786805555559</v>
      </c>
      <c r="D308" t="s">
        <v>17</v>
      </c>
      <c r="E308" s="1">
        <v>45215.816666666666</v>
      </c>
      <c r="F308" t="str">
        <f>VLOOKUP(C308,Продукт!$C$2:$D$568,2,0)</f>
        <v>SaluteBot</v>
      </c>
      <c r="G308" s="2">
        <f t="shared" si="4"/>
        <v>42.999999993480742</v>
      </c>
    </row>
    <row r="309" spans="1:7">
      <c r="A309" t="s">
        <v>6</v>
      </c>
      <c r="B309" t="s">
        <v>24</v>
      </c>
      <c r="C309" s="1">
        <v>45215.808333333334</v>
      </c>
      <c r="D309" t="s">
        <v>17</v>
      </c>
      <c r="E309" s="1">
        <v>45216.501388888886</v>
      </c>
      <c r="F309" t="str">
        <f>VLOOKUP(C309,Продукт!$C$2:$D$568,2,0)</f>
        <v>SaluteSpeech</v>
      </c>
      <c r="G309" s="2">
        <f t="shared" si="4"/>
        <v>997.9999999946449</v>
      </c>
    </row>
    <row r="310" spans="1:7">
      <c r="A310" t="s">
        <v>6</v>
      </c>
      <c r="B310" t="s">
        <v>24</v>
      </c>
      <c r="C310" s="1">
        <v>45215.824999999997</v>
      </c>
      <c r="D310" t="s">
        <v>17</v>
      </c>
      <c r="E310" s="1">
        <v>45216.500694444447</v>
      </c>
      <c r="F310" t="str">
        <f>VLOOKUP(C310,Продукт!$C$2:$D$568,2,0)</f>
        <v>Jazz</v>
      </c>
      <c r="G310" s="2">
        <f t="shared" si="4"/>
        <v>973.00000000745058</v>
      </c>
    </row>
    <row r="311" spans="1:7">
      <c r="A311" t="s">
        <v>6</v>
      </c>
      <c r="B311" t="s">
        <v>24</v>
      </c>
      <c r="C311" s="1">
        <v>45215.827777777777</v>
      </c>
      <c r="D311" t="s">
        <v>17</v>
      </c>
      <c r="E311" s="1">
        <v>45216.500694444447</v>
      </c>
      <c r="F311" t="str">
        <f>VLOOKUP(C311,Продукт!$C$2:$D$568,2,0)</f>
        <v>SaluteSpeech</v>
      </c>
      <c r="G311" s="2">
        <f t="shared" si="4"/>
        <v>969.00000000488944</v>
      </c>
    </row>
    <row r="312" spans="1:7">
      <c r="A312" t="s">
        <v>3</v>
      </c>
      <c r="B312" t="s">
        <v>25</v>
      </c>
      <c r="C312" s="1">
        <v>45215.92083333333</v>
      </c>
      <c r="D312" t="s">
        <v>17</v>
      </c>
      <c r="E312" s="1">
        <v>45216.554166666669</v>
      </c>
      <c r="F312" t="str">
        <f>VLOOKUP(C312,Продукт!$C$2:$D$568,2,0)</f>
        <v>SaluteBot</v>
      </c>
      <c r="G312" s="2">
        <f t="shared" si="4"/>
        <v>912.00000000768341</v>
      </c>
    </row>
    <row r="313" spans="1:7">
      <c r="A313" t="s">
        <v>5</v>
      </c>
      <c r="B313" t="s">
        <v>25</v>
      </c>
      <c r="C313" s="1">
        <v>45215.931250000001</v>
      </c>
      <c r="D313" t="s">
        <v>17</v>
      </c>
      <c r="E313" s="1">
        <v>45216.552083333336</v>
      </c>
      <c r="F313" t="str">
        <f>VLOOKUP(C313,Продукт!$C$2:$D$568,2,0)</f>
        <v>Jazz</v>
      </c>
      <c r="G313" s="2">
        <f t="shared" si="4"/>
        <v>894.00000000139698</v>
      </c>
    </row>
    <row r="314" spans="1:7">
      <c r="A314" t="s">
        <v>5</v>
      </c>
      <c r="B314" t="s">
        <v>25</v>
      </c>
      <c r="C314" s="1">
        <v>45216.442361111112</v>
      </c>
      <c r="D314" t="s">
        <v>17</v>
      </c>
      <c r="E314" s="1">
        <v>45216.500694444447</v>
      </c>
      <c r="F314" t="str">
        <f>VLOOKUP(C314,Продукт!$C$2:$D$568,2,0)</f>
        <v>Jazz</v>
      </c>
      <c r="G314" s="2">
        <f t="shared" si="4"/>
        <v>84.000000001396984</v>
      </c>
    </row>
    <row r="315" spans="1:7">
      <c r="A315" t="s">
        <v>7</v>
      </c>
      <c r="B315" t="s">
        <v>25</v>
      </c>
      <c r="C315" s="1">
        <v>45216.477777777778</v>
      </c>
      <c r="D315" t="s">
        <v>17</v>
      </c>
      <c r="E315" s="1">
        <v>45216.500694444447</v>
      </c>
      <c r="F315" t="str">
        <f>VLOOKUP(C315,Продукт!$C$2:$D$568,2,0)</f>
        <v>SaluteSpeech</v>
      </c>
      <c r="G315" s="2">
        <f t="shared" si="4"/>
        <v>33.000000002793968</v>
      </c>
    </row>
    <row r="316" spans="1:7">
      <c r="A316" t="s">
        <v>1</v>
      </c>
      <c r="B316" t="s">
        <v>25</v>
      </c>
      <c r="C316" s="1">
        <v>45216.490277777775</v>
      </c>
      <c r="D316" t="s">
        <v>17</v>
      </c>
      <c r="E316" s="1">
        <v>45216.505555555559</v>
      </c>
      <c r="F316" t="str">
        <f>VLOOKUP(C316,Продукт!$C$2:$D$568,2,0)</f>
        <v>Jazz</v>
      </c>
      <c r="G316" s="2">
        <f t="shared" si="4"/>
        <v>22.000000008847564</v>
      </c>
    </row>
    <row r="317" spans="1:7">
      <c r="A317" t="s">
        <v>9</v>
      </c>
      <c r="B317" t="s">
        <v>24</v>
      </c>
      <c r="C317" s="1">
        <v>45216.604166666664</v>
      </c>
      <c r="D317" t="s">
        <v>17</v>
      </c>
      <c r="E317" s="1">
        <v>45216.637499999997</v>
      </c>
      <c r="F317" t="str">
        <f>VLOOKUP(C317,Продукт!$C$2:$D$568,2,0)</f>
        <v>SaluteSpeech</v>
      </c>
      <c r="G317" s="2">
        <f t="shared" si="4"/>
        <v>47.999999999301508</v>
      </c>
    </row>
    <row r="318" spans="1:7">
      <c r="A318" t="s">
        <v>9</v>
      </c>
      <c r="B318" t="s">
        <v>24</v>
      </c>
      <c r="C318" s="1">
        <v>45216.607638888891</v>
      </c>
      <c r="D318" t="s">
        <v>17</v>
      </c>
      <c r="E318" s="1">
        <v>45216.620833333334</v>
      </c>
      <c r="F318" t="str">
        <f>VLOOKUP(C318,Продукт!$C$2:$D$568,2,0)</f>
        <v>Jazz</v>
      </c>
      <c r="G318" s="2">
        <f t="shared" si="4"/>
        <v>18.999999999068677</v>
      </c>
    </row>
    <row r="319" spans="1:7">
      <c r="A319" t="s">
        <v>5</v>
      </c>
      <c r="B319" t="s">
        <v>25</v>
      </c>
      <c r="C319" s="1">
        <v>45216.609027777777</v>
      </c>
      <c r="D319" t="s">
        <v>17</v>
      </c>
      <c r="E319" s="1">
        <v>45216.625</v>
      </c>
      <c r="F319" t="str">
        <f>VLOOKUP(C319,Продукт!$C$2:$D$568,2,0)</f>
        <v>SaluteBot</v>
      </c>
      <c r="G319" s="2">
        <f t="shared" si="4"/>
        <v>23.000000001629815</v>
      </c>
    </row>
    <row r="320" spans="1:7">
      <c r="A320" t="s">
        <v>6</v>
      </c>
      <c r="B320" t="s">
        <v>24</v>
      </c>
      <c r="C320" s="1">
        <v>45216.613194444442</v>
      </c>
      <c r="D320" t="s">
        <v>17</v>
      </c>
      <c r="E320" s="1">
        <v>45216.64166666667</v>
      </c>
      <c r="F320" t="str">
        <f>VLOOKUP(C320,Продукт!$C$2:$D$568,2,0)</f>
        <v>SaluteSpeech</v>
      </c>
      <c r="G320" s="2">
        <f t="shared" si="4"/>
        <v>41.000000007916242</v>
      </c>
    </row>
    <row r="321" spans="1:7">
      <c r="A321" t="s">
        <v>12</v>
      </c>
      <c r="B321" t="s">
        <v>24</v>
      </c>
      <c r="C321" s="1">
        <v>45216.634027777778</v>
      </c>
      <c r="D321" t="s">
        <v>17</v>
      </c>
      <c r="E321" s="1">
        <v>45216.662499999999</v>
      </c>
      <c r="F321" t="str">
        <f>VLOOKUP(C321,Продукт!$C$2:$D$568,2,0)</f>
        <v>Jazz</v>
      </c>
      <c r="G321" s="2">
        <f t="shared" si="4"/>
        <v>40.999999997438863</v>
      </c>
    </row>
    <row r="322" spans="1:7">
      <c r="A322" t="s">
        <v>9</v>
      </c>
      <c r="B322" t="s">
        <v>24</v>
      </c>
      <c r="C322" s="1">
        <v>45216.67083333333</v>
      </c>
      <c r="D322" t="s">
        <v>17</v>
      </c>
      <c r="E322" s="1">
        <v>45216.67291666667</v>
      </c>
      <c r="F322" t="str">
        <f>VLOOKUP(C322,Продукт!$C$2:$D$568,2,0)</f>
        <v>Jazz</v>
      </c>
      <c r="G322" s="2">
        <f t="shared" si="4"/>
        <v>3.000000009778887</v>
      </c>
    </row>
    <row r="323" spans="1:7">
      <c r="A323" t="s">
        <v>12</v>
      </c>
      <c r="B323" t="s">
        <v>24</v>
      </c>
      <c r="C323" s="1">
        <v>45216.675694444442</v>
      </c>
      <c r="D323" t="s">
        <v>17</v>
      </c>
      <c r="E323" s="1">
        <v>45216.714583333334</v>
      </c>
      <c r="F323" t="str">
        <f>VLOOKUP(C323,Продукт!$C$2:$D$568,2,0)</f>
        <v>Jazz</v>
      </c>
      <c r="G323" s="2">
        <f t="shared" ref="G323:G386" si="5">(E323-C323)*60*24</f>
        <v>56.000000004423782</v>
      </c>
    </row>
    <row r="324" spans="1:7">
      <c r="A324" t="s">
        <v>9</v>
      </c>
      <c r="B324" t="s">
        <v>24</v>
      </c>
      <c r="C324" s="1">
        <v>45216.718055555553</v>
      </c>
      <c r="D324" t="s">
        <v>17</v>
      </c>
      <c r="E324" s="1">
        <v>45216.728472222225</v>
      </c>
      <c r="F324" t="str">
        <f>VLOOKUP(C324,Продукт!$C$2:$D$568,2,0)</f>
        <v>Jazz</v>
      </c>
      <c r="G324" s="2">
        <f t="shared" si="5"/>
        <v>15.000000006984919</v>
      </c>
    </row>
    <row r="325" spans="1:7">
      <c r="A325" t="s">
        <v>5</v>
      </c>
      <c r="B325" t="s">
        <v>25</v>
      </c>
      <c r="C325" s="1">
        <v>45216.720833333333</v>
      </c>
      <c r="D325" t="s">
        <v>17</v>
      </c>
      <c r="E325" s="1">
        <v>45216.74722222222</v>
      </c>
      <c r="F325" t="str">
        <f>VLOOKUP(C325,Продукт!$C$2:$D$568,2,0)</f>
        <v>Jazz</v>
      </c>
      <c r="G325" s="2">
        <f t="shared" si="5"/>
        <v>37.999999998137355</v>
      </c>
    </row>
    <row r="326" spans="1:7">
      <c r="A326" t="s">
        <v>3</v>
      </c>
      <c r="B326" t="s">
        <v>24</v>
      </c>
      <c r="C326" s="1">
        <v>45216.725694444445</v>
      </c>
      <c r="D326" t="s">
        <v>17</v>
      </c>
      <c r="E326" s="1">
        <v>45216.745833333334</v>
      </c>
      <c r="F326" t="str">
        <f>VLOOKUP(C326,Продукт!$C$2:$D$568,2,0)</f>
        <v>SaluteBot</v>
      </c>
      <c r="G326" s="2">
        <f t="shared" si="5"/>
        <v>29.000000000232831</v>
      </c>
    </row>
    <row r="327" spans="1:7">
      <c r="A327" t="s">
        <v>9</v>
      </c>
      <c r="B327" t="s">
        <v>25</v>
      </c>
      <c r="C327" s="1">
        <v>45216.729166666664</v>
      </c>
      <c r="D327" t="s">
        <v>17</v>
      </c>
      <c r="E327" s="1">
        <v>45216.758333333331</v>
      </c>
      <c r="F327" t="str">
        <f>VLOOKUP(C327,Продукт!$C$2:$D$568,2,0)</f>
        <v>SaluteBot</v>
      </c>
      <c r="G327" s="2">
        <f t="shared" si="5"/>
        <v>42.000000000698492</v>
      </c>
    </row>
    <row r="328" spans="1:7">
      <c r="A328" t="s">
        <v>6</v>
      </c>
      <c r="B328" t="s">
        <v>24</v>
      </c>
      <c r="C328" s="1">
        <v>45216.750694444447</v>
      </c>
      <c r="D328" t="s">
        <v>17</v>
      </c>
      <c r="E328" s="1">
        <v>45216.756944444445</v>
      </c>
      <c r="F328" t="str">
        <f>VLOOKUP(C328,Продукт!$C$2:$D$568,2,0)</f>
        <v>SaluteSpeech</v>
      </c>
      <c r="G328" s="2">
        <f t="shared" si="5"/>
        <v>8.9999999979045242</v>
      </c>
    </row>
    <row r="329" spans="1:7">
      <c r="A329" t="s">
        <v>5</v>
      </c>
      <c r="B329" t="s">
        <v>25</v>
      </c>
      <c r="C329" s="1">
        <v>45216.759027777778</v>
      </c>
      <c r="D329" t="s">
        <v>17</v>
      </c>
      <c r="E329" s="1">
        <v>45216.763888888891</v>
      </c>
      <c r="F329" t="str">
        <f>VLOOKUP(C329,Продукт!$C$2:$D$568,2,0)</f>
        <v>SaluteSpeech</v>
      </c>
      <c r="G329" s="2">
        <f t="shared" si="5"/>
        <v>7.0000000018626451</v>
      </c>
    </row>
    <row r="330" spans="1:7">
      <c r="A330" t="s">
        <v>11</v>
      </c>
      <c r="B330" t="s">
        <v>24</v>
      </c>
      <c r="C330" s="1">
        <v>45216.763888888891</v>
      </c>
      <c r="D330" t="s">
        <v>17</v>
      </c>
      <c r="E330" s="1">
        <v>45216.765972222223</v>
      </c>
      <c r="F330" t="str">
        <f>VLOOKUP(C330,Продукт!$C$2:$D$568,2,0)</f>
        <v>SaluteBot</v>
      </c>
      <c r="G330" s="2">
        <f t="shared" si="5"/>
        <v>2.9999999993015081</v>
      </c>
    </row>
    <row r="331" spans="1:7">
      <c r="A331" t="s">
        <v>5</v>
      </c>
      <c r="B331" t="s">
        <v>24</v>
      </c>
      <c r="C331" s="1">
        <v>45216.785416666666</v>
      </c>
      <c r="D331" t="s">
        <v>17</v>
      </c>
      <c r="E331" s="1">
        <v>45216.814583333333</v>
      </c>
      <c r="F331" t="str">
        <f>VLOOKUP(C331,Продукт!$C$2:$D$568,2,0)</f>
        <v>Jazz</v>
      </c>
      <c r="G331" s="2">
        <f t="shared" si="5"/>
        <v>42.000000000698492</v>
      </c>
    </row>
    <row r="332" spans="1:7">
      <c r="A332" t="s">
        <v>5</v>
      </c>
      <c r="B332" t="s">
        <v>24</v>
      </c>
      <c r="C332" s="1">
        <v>45216.907638888886</v>
      </c>
      <c r="D332" t="s">
        <v>17</v>
      </c>
      <c r="E332" s="1">
        <v>45217.535416666666</v>
      </c>
      <c r="F332" t="str">
        <f>VLOOKUP(C332,Продукт!$C$2:$D$568,2,0)</f>
        <v>SaluteBot</v>
      </c>
      <c r="G332" s="2">
        <f t="shared" si="5"/>
        <v>904.00000000256114</v>
      </c>
    </row>
    <row r="333" spans="1:7">
      <c r="A333" t="s">
        <v>5</v>
      </c>
      <c r="B333" t="s">
        <v>24</v>
      </c>
      <c r="C333" s="1">
        <v>45216.940972222219</v>
      </c>
      <c r="D333" t="s">
        <v>17</v>
      </c>
      <c r="E333" s="1">
        <v>45217.536805555559</v>
      </c>
      <c r="F333" t="str">
        <f>VLOOKUP(C333,Продукт!$C$2:$D$568,2,0)</f>
        <v>SaluteBot</v>
      </c>
      <c r="G333" s="2">
        <f t="shared" si="5"/>
        <v>858.00000000977889</v>
      </c>
    </row>
    <row r="334" spans="1:7">
      <c r="A334" t="s">
        <v>5</v>
      </c>
      <c r="B334" t="s">
        <v>24</v>
      </c>
      <c r="C334" s="1">
        <v>45216.953472222223</v>
      </c>
      <c r="D334" t="s">
        <v>17</v>
      </c>
      <c r="E334" s="1">
        <v>45217.542361111111</v>
      </c>
      <c r="F334" t="str">
        <f>VLOOKUP(C334,Продукт!$C$2:$D$568,2,0)</f>
        <v>Jazz</v>
      </c>
      <c r="G334" s="2">
        <f t="shared" si="5"/>
        <v>847.99999999813735</v>
      </c>
    </row>
    <row r="335" spans="1:7">
      <c r="A335" t="s">
        <v>5</v>
      </c>
      <c r="B335" t="s">
        <v>24</v>
      </c>
      <c r="C335" s="1">
        <v>45216.974999999999</v>
      </c>
      <c r="D335" t="s">
        <v>17</v>
      </c>
      <c r="E335" s="1">
        <v>45217.547222222223</v>
      </c>
      <c r="F335" t="str">
        <f>VLOOKUP(C335,Продукт!$C$2:$D$568,2,0)</f>
        <v>SaluteSpeech</v>
      </c>
      <c r="G335" s="2">
        <f t="shared" si="5"/>
        <v>824.00000000372529</v>
      </c>
    </row>
    <row r="336" spans="1:7">
      <c r="A336" t="s">
        <v>11</v>
      </c>
      <c r="B336" t="s">
        <v>24</v>
      </c>
      <c r="C336" s="1">
        <v>45216.993055555555</v>
      </c>
      <c r="D336" t="s">
        <v>17</v>
      </c>
      <c r="E336" s="1">
        <v>45217.549305555556</v>
      </c>
      <c r="F336" t="str">
        <f>VLOOKUP(C336,Продукт!$C$2:$D$568,2,0)</f>
        <v>SaluteBot</v>
      </c>
      <c r="G336" s="2">
        <f t="shared" si="5"/>
        <v>801.00000000209548</v>
      </c>
    </row>
    <row r="337" spans="1:7">
      <c r="A337" t="s">
        <v>11</v>
      </c>
      <c r="B337" t="s">
        <v>25</v>
      </c>
      <c r="C337" s="1">
        <v>45217.000694444447</v>
      </c>
      <c r="D337" t="s">
        <v>17</v>
      </c>
      <c r="E337" s="1">
        <v>45217.555555555555</v>
      </c>
      <c r="F337" t="str">
        <f>VLOOKUP(C337,Продукт!$C$2:$D$568,2,0)</f>
        <v>SaluteSpeech</v>
      </c>
      <c r="G337" s="2">
        <f t="shared" si="5"/>
        <v>798.99999999557622</v>
      </c>
    </row>
    <row r="338" spans="1:7">
      <c r="A338" t="s">
        <v>6</v>
      </c>
      <c r="B338" t="s">
        <v>24</v>
      </c>
      <c r="C338" s="1">
        <v>45217.513888888891</v>
      </c>
      <c r="D338" t="s">
        <v>17</v>
      </c>
      <c r="E338" s="1">
        <v>45217.53402777778</v>
      </c>
      <c r="F338" t="str">
        <f>VLOOKUP(C338,Продукт!$C$2:$D$568,2,0)</f>
        <v>SaluteSpeech</v>
      </c>
      <c r="G338" s="2">
        <f t="shared" si="5"/>
        <v>29.000000000232831</v>
      </c>
    </row>
    <row r="339" spans="1:7">
      <c r="A339" t="s">
        <v>4</v>
      </c>
      <c r="B339" t="s">
        <v>25</v>
      </c>
      <c r="C339" s="1">
        <v>45217.565972222219</v>
      </c>
      <c r="D339" t="s">
        <v>17</v>
      </c>
      <c r="E339" s="1">
        <v>45217.570138888892</v>
      </c>
      <c r="F339" t="str">
        <f>VLOOKUP(C339,Продукт!$C$2:$D$568,2,0)</f>
        <v>SaluteBot</v>
      </c>
      <c r="G339" s="2">
        <f t="shared" si="5"/>
        <v>6.0000000090803951</v>
      </c>
    </row>
    <row r="340" spans="1:7">
      <c r="A340" t="s">
        <v>7</v>
      </c>
      <c r="B340" t="s">
        <v>25</v>
      </c>
      <c r="C340" s="1">
        <v>45217.568749999999</v>
      </c>
      <c r="D340" t="s">
        <v>17</v>
      </c>
      <c r="E340" s="1">
        <v>45217.57916666667</v>
      </c>
      <c r="F340" t="str">
        <f>VLOOKUP(C340,Продукт!$C$2:$D$568,2,0)</f>
        <v>Jazz</v>
      </c>
      <c r="G340" s="2">
        <f t="shared" si="5"/>
        <v>15.000000006984919</v>
      </c>
    </row>
    <row r="341" spans="1:7">
      <c r="A341" t="s">
        <v>6</v>
      </c>
      <c r="B341" t="s">
        <v>24</v>
      </c>
      <c r="C341" s="1">
        <v>45217.586805555555</v>
      </c>
      <c r="D341" t="s">
        <v>17</v>
      </c>
      <c r="E341" s="1">
        <v>45217.631249999999</v>
      </c>
      <c r="F341" t="str">
        <f>VLOOKUP(C341,Продукт!$C$2:$D$568,2,0)</f>
        <v>SaluteSpeech</v>
      </c>
      <c r="G341" s="2">
        <f t="shared" si="5"/>
        <v>63.999999999068677</v>
      </c>
    </row>
    <row r="342" spans="1:7">
      <c r="A342" t="s">
        <v>10</v>
      </c>
      <c r="B342" t="s">
        <v>25</v>
      </c>
      <c r="C342" s="1" t="s">
        <v>14</v>
      </c>
      <c r="D342" t="s">
        <v>17</v>
      </c>
      <c r="E342" s="1">
        <v>45217.625694444447</v>
      </c>
      <c r="F342" t="str">
        <f>VLOOKUP(C342,Продукт!$C$2:$D$568,2,0)</f>
        <v>Jazz</v>
      </c>
      <c r="G342" s="2"/>
    </row>
    <row r="343" spans="1:7">
      <c r="A343" t="s">
        <v>5</v>
      </c>
      <c r="B343" t="s">
        <v>25</v>
      </c>
      <c r="C343" s="1">
        <v>45217.637499999997</v>
      </c>
      <c r="D343" t="s">
        <v>17</v>
      </c>
      <c r="E343" s="1">
        <v>45217.645833333336</v>
      </c>
      <c r="F343" t="str">
        <f>VLOOKUP(C343,Продукт!$C$2:$D$568,2,0)</f>
        <v>SaluteBot</v>
      </c>
      <c r="G343" s="2">
        <f t="shared" si="5"/>
        <v>12.000000007683411</v>
      </c>
    </row>
    <row r="344" spans="1:7">
      <c r="A344" t="s">
        <v>10</v>
      </c>
      <c r="B344" t="s">
        <v>24</v>
      </c>
      <c r="C344" s="1">
        <v>45217.649305555555</v>
      </c>
      <c r="D344" t="s">
        <v>17</v>
      </c>
      <c r="E344" s="1">
        <v>45217.65625</v>
      </c>
      <c r="F344" t="str">
        <f>VLOOKUP(C344,Продукт!$C$2:$D$568,2,0)</f>
        <v>Jazz</v>
      </c>
      <c r="G344" s="2">
        <f t="shared" si="5"/>
        <v>10.000000001164153</v>
      </c>
    </row>
    <row r="345" spans="1:7">
      <c r="A345" t="s">
        <v>5</v>
      </c>
      <c r="B345" t="s">
        <v>24</v>
      </c>
      <c r="C345" s="1">
        <v>45217.696527777778</v>
      </c>
      <c r="D345" t="s">
        <v>17</v>
      </c>
      <c r="E345" s="1">
        <v>45217.70416666667</v>
      </c>
      <c r="F345" t="str">
        <f>VLOOKUP(C345,Продукт!$C$2:$D$568,2,0)</f>
        <v>SaluteBot</v>
      </c>
      <c r="G345" s="2">
        <f t="shared" si="5"/>
        <v>11.000000004423782</v>
      </c>
    </row>
    <row r="346" spans="1:7">
      <c r="A346" t="s">
        <v>7</v>
      </c>
      <c r="B346" t="s">
        <v>25</v>
      </c>
      <c r="C346" s="1">
        <v>45217.750694444447</v>
      </c>
      <c r="D346" t="s">
        <v>17</v>
      </c>
      <c r="E346" s="1">
        <v>45217.784722222219</v>
      </c>
      <c r="F346" t="str">
        <f>VLOOKUP(C346,Продукт!$C$2:$D$568,2,0)</f>
        <v>SaluteSpeech</v>
      </c>
      <c r="G346" s="2">
        <f t="shared" si="5"/>
        <v>48.999999992083758</v>
      </c>
    </row>
    <row r="347" spans="1:7">
      <c r="A347" t="s">
        <v>5</v>
      </c>
      <c r="B347" t="s">
        <v>25</v>
      </c>
      <c r="C347" s="1">
        <v>45217.768750000003</v>
      </c>
      <c r="D347" t="s">
        <v>17</v>
      </c>
      <c r="E347" s="1">
        <v>45217.769444444442</v>
      </c>
      <c r="F347" t="str">
        <f>VLOOKUP(C347,Продукт!$C$2:$D$568,2,0)</f>
        <v>Jazz</v>
      </c>
      <c r="G347" s="2">
        <f t="shared" si="5"/>
        <v>0.99999999278225005</v>
      </c>
    </row>
    <row r="348" spans="1:7">
      <c r="A348" t="s">
        <v>5</v>
      </c>
      <c r="B348" t="s">
        <v>25</v>
      </c>
      <c r="C348" s="1">
        <v>45217.788888888892</v>
      </c>
      <c r="D348" t="s">
        <v>17</v>
      </c>
      <c r="E348" s="1">
        <v>45217.790277777778</v>
      </c>
      <c r="F348" t="str">
        <f>VLOOKUP(C348,Продукт!$C$2:$D$568,2,0)</f>
        <v>Jazz</v>
      </c>
      <c r="G348" s="2">
        <f t="shared" si="5"/>
        <v>1.9999999960418791</v>
      </c>
    </row>
    <row r="349" spans="1:7">
      <c r="A349" t="s">
        <v>5</v>
      </c>
      <c r="B349" t="s">
        <v>24</v>
      </c>
      <c r="C349" s="1">
        <v>45217.839583333334</v>
      </c>
      <c r="D349" t="s">
        <v>17</v>
      </c>
      <c r="E349" s="1">
        <v>45218.50277777778</v>
      </c>
      <c r="F349" t="str">
        <f>VLOOKUP(C349,Продукт!$C$2:$D$568,2,0)</f>
        <v>SaluteBot</v>
      </c>
      <c r="G349" s="2">
        <f t="shared" si="5"/>
        <v>955.00000000116415</v>
      </c>
    </row>
    <row r="350" spans="1:7">
      <c r="A350" t="s">
        <v>5</v>
      </c>
      <c r="B350" t="s">
        <v>25</v>
      </c>
      <c r="C350" s="1">
        <v>45217.956944444442</v>
      </c>
      <c r="D350" t="s">
        <v>17</v>
      </c>
      <c r="E350" s="1">
        <v>45218.552083333336</v>
      </c>
      <c r="F350" t="str">
        <f>VLOOKUP(C350,Продукт!$C$2:$D$568,2,0)</f>
        <v>Jazz</v>
      </c>
      <c r="G350" s="2">
        <f t="shared" si="5"/>
        <v>857.00000000651926</v>
      </c>
    </row>
    <row r="351" spans="1:7">
      <c r="A351" t="s">
        <v>11</v>
      </c>
      <c r="B351" t="s">
        <v>25</v>
      </c>
      <c r="C351" s="1">
        <v>45218.126388888886</v>
      </c>
      <c r="D351" t="s">
        <v>17</v>
      </c>
      <c r="E351" s="1">
        <v>45218.559027777781</v>
      </c>
      <c r="F351" t="str">
        <f>VLOOKUP(C351,Продукт!$C$2:$D$568,2,0)</f>
        <v>SaluteBot</v>
      </c>
      <c r="G351" s="2">
        <f t="shared" si="5"/>
        <v>623.00000000861473</v>
      </c>
    </row>
    <row r="352" spans="1:7">
      <c r="A352" t="s">
        <v>11</v>
      </c>
      <c r="B352" t="s">
        <v>25</v>
      </c>
      <c r="C352" s="1">
        <v>45218.301388888889</v>
      </c>
      <c r="D352" t="s">
        <v>17</v>
      </c>
      <c r="E352" s="1">
        <v>45218.500694444447</v>
      </c>
      <c r="F352" t="str">
        <f>VLOOKUP(C352,Продукт!$C$2:$D$568,2,0)</f>
        <v>Jazz</v>
      </c>
      <c r="G352" s="2">
        <f t="shared" si="5"/>
        <v>287.0000000030268</v>
      </c>
    </row>
    <row r="353" spans="1:7">
      <c r="A353" t="s">
        <v>6</v>
      </c>
      <c r="B353" t="s">
        <v>25</v>
      </c>
      <c r="C353" s="1">
        <v>45218.380555555559</v>
      </c>
      <c r="D353" t="s">
        <v>17</v>
      </c>
      <c r="E353" s="1">
        <v>45218.500694444447</v>
      </c>
      <c r="F353" t="str">
        <f>VLOOKUP(C353,Продукт!$C$2:$D$568,2,0)</f>
        <v>SaluteSpeech</v>
      </c>
      <c r="G353" s="2">
        <f t="shared" si="5"/>
        <v>172.99999999813735</v>
      </c>
    </row>
    <row r="354" spans="1:7">
      <c r="A354" t="s">
        <v>7</v>
      </c>
      <c r="B354" t="s">
        <v>25</v>
      </c>
      <c r="C354" s="1">
        <v>45218.405555555553</v>
      </c>
      <c r="D354" t="s">
        <v>17</v>
      </c>
      <c r="E354" s="1">
        <v>45218.500694444447</v>
      </c>
      <c r="F354" t="str">
        <f>VLOOKUP(C354,Продукт!$C$2:$D$568,2,0)</f>
        <v>Jazz</v>
      </c>
      <c r="G354" s="2">
        <f t="shared" si="5"/>
        <v>137.00000000651926</v>
      </c>
    </row>
    <row r="355" spans="1:7">
      <c r="A355" t="s">
        <v>3</v>
      </c>
      <c r="B355" t="s">
        <v>25</v>
      </c>
      <c r="C355" s="1">
        <v>45218.445833333331</v>
      </c>
      <c r="D355" t="s">
        <v>17</v>
      </c>
      <c r="E355" s="1">
        <v>45218.500694444447</v>
      </c>
      <c r="F355" t="str">
        <f>VLOOKUP(C355,Продукт!$C$2:$D$568,2,0)</f>
        <v>SaluteBot</v>
      </c>
      <c r="G355" s="2">
        <f t="shared" si="5"/>
        <v>79.000000006053597</v>
      </c>
    </row>
    <row r="356" spans="1:7">
      <c r="A356" t="s">
        <v>7</v>
      </c>
      <c r="B356" t="s">
        <v>25</v>
      </c>
      <c r="C356" s="1">
        <v>45218.481944444444</v>
      </c>
      <c r="D356" t="s">
        <v>17</v>
      </c>
      <c r="E356" s="1">
        <v>45218.500694444447</v>
      </c>
      <c r="F356" t="str">
        <f>VLOOKUP(C356,Продукт!$C$2:$D$568,2,0)</f>
        <v>Jazz</v>
      </c>
      <c r="G356" s="2">
        <f t="shared" si="5"/>
        <v>27.000000004190952</v>
      </c>
    </row>
    <row r="357" spans="1:7">
      <c r="A357" t="s">
        <v>12</v>
      </c>
      <c r="B357" t="s">
        <v>25</v>
      </c>
      <c r="C357" s="1">
        <v>45218.491666666669</v>
      </c>
      <c r="D357" t="s">
        <v>17</v>
      </c>
      <c r="E357" s="1">
        <v>45218.500694444447</v>
      </c>
      <c r="F357" t="str">
        <f>VLOOKUP(C357,Продукт!$C$2:$D$568,2,0)</f>
        <v>Jazz</v>
      </c>
      <c r="G357" s="2">
        <f t="shared" si="5"/>
        <v>13.000000000465661</v>
      </c>
    </row>
    <row r="358" spans="1:7">
      <c r="A358" t="s">
        <v>11</v>
      </c>
      <c r="B358" t="s">
        <v>24</v>
      </c>
      <c r="C358" s="1">
        <v>45218.534722222219</v>
      </c>
      <c r="D358" t="s">
        <v>17</v>
      </c>
      <c r="E358" s="1">
        <v>45218.543749999997</v>
      </c>
      <c r="F358" t="str">
        <f>VLOOKUP(C358,Продукт!$C$2:$D$568,2,0)</f>
        <v>SaluteBot</v>
      </c>
      <c r="G358" s="2">
        <f t="shared" si="5"/>
        <v>13.000000000465661</v>
      </c>
    </row>
    <row r="359" spans="1:7">
      <c r="A359" t="s">
        <v>5</v>
      </c>
      <c r="B359" t="s">
        <v>25</v>
      </c>
      <c r="C359" s="1">
        <v>45218.55</v>
      </c>
      <c r="D359" t="s">
        <v>17</v>
      </c>
      <c r="E359" s="1">
        <v>45218.554861111108</v>
      </c>
      <c r="F359" t="str">
        <f>VLOOKUP(C359,Продукт!$C$2:$D$568,2,0)</f>
        <v>SaluteSpeech</v>
      </c>
      <c r="G359" s="2">
        <f t="shared" si="5"/>
        <v>6.9999999913852662</v>
      </c>
    </row>
    <row r="360" spans="1:7">
      <c r="A360" t="s">
        <v>10</v>
      </c>
      <c r="B360" t="s">
        <v>25</v>
      </c>
      <c r="C360" s="1">
        <v>45218.565972222219</v>
      </c>
      <c r="D360" t="s">
        <v>17</v>
      </c>
      <c r="E360" s="1">
        <v>45218.572916666664</v>
      </c>
      <c r="F360" t="str">
        <f>VLOOKUP(C360,Продукт!$C$2:$D$568,2,0)</f>
        <v>SaluteBot</v>
      </c>
      <c r="G360" s="2">
        <f t="shared" si="5"/>
        <v>10.000000001164153</v>
      </c>
    </row>
    <row r="361" spans="1:7">
      <c r="A361" t="s">
        <v>5</v>
      </c>
      <c r="B361" t="s">
        <v>25</v>
      </c>
      <c r="C361" s="1">
        <v>45219.840277777781</v>
      </c>
      <c r="D361" t="s">
        <v>17</v>
      </c>
      <c r="E361" s="1">
        <v>45222.57708333333</v>
      </c>
      <c r="F361" t="str">
        <f>VLOOKUP(C361,Продукт!$C$2:$D$568,2,0)</f>
        <v>SaluteSpeech</v>
      </c>
      <c r="G361" s="2">
        <f t="shared" si="5"/>
        <v>3940.9999999904539</v>
      </c>
    </row>
    <row r="362" spans="1:7">
      <c r="A362" t="s">
        <v>4</v>
      </c>
      <c r="B362" t="s">
        <v>24</v>
      </c>
      <c r="C362" s="1">
        <v>45219.842361111114</v>
      </c>
      <c r="D362" t="s">
        <v>17</v>
      </c>
      <c r="E362" s="1">
        <v>45222.581250000003</v>
      </c>
      <c r="F362" t="str">
        <f>VLOOKUP(C362,Продукт!$C$2:$D$568,2,0)</f>
        <v>Jazz</v>
      </c>
      <c r="G362" s="2">
        <f t="shared" si="5"/>
        <v>3944.0000000002328</v>
      </c>
    </row>
    <row r="363" spans="1:7">
      <c r="A363" t="s">
        <v>11</v>
      </c>
      <c r="B363" t="s">
        <v>25</v>
      </c>
      <c r="C363" s="1">
        <v>45220.17291666667</v>
      </c>
      <c r="D363" t="s">
        <v>17</v>
      </c>
      <c r="E363" s="1">
        <v>45222.607638888891</v>
      </c>
      <c r="F363" t="str">
        <f>VLOOKUP(C363,Продукт!$C$2:$D$568,2,0)</f>
        <v>SaluteSpeech</v>
      </c>
      <c r="G363" s="2">
        <f t="shared" si="5"/>
        <v>3505.9999999974389</v>
      </c>
    </row>
    <row r="364" spans="1:7">
      <c r="A364" t="s">
        <v>5</v>
      </c>
      <c r="B364" t="s">
        <v>24</v>
      </c>
      <c r="C364" s="1">
        <v>45220.362500000003</v>
      </c>
      <c r="D364" t="s">
        <v>17</v>
      </c>
      <c r="E364" s="1">
        <v>45222.500694444447</v>
      </c>
      <c r="F364" t="str">
        <f>VLOOKUP(C364,Продукт!$C$2:$D$568,2,0)</f>
        <v>Jazz</v>
      </c>
      <c r="G364" s="2">
        <f t="shared" si="5"/>
        <v>3078.9999999990687</v>
      </c>
    </row>
    <row r="365" spans="1:7">
      <c r="A365" t="s">
        <v>4</v>
      </c>
      <c r="B365" t="s">
        <v>25</v>
      </c>
      <c r="C365" s="1">
        <v>45220.602777777778</v>
      </c>
      <c r="D365" t="s">
        <v>17</v>
      </c>
      <c r="E365" s="1">
        <v>45222.527777777781</v>
      </c>
      <c r="F365" t="str">
        <f>VLOOKUP(C365,Продукт!$C$2:$D$568,2,0)</f>
        <v>Jazz</v>
      </c>
      <c r="G365" s="2">
        <f t="shared" si="5"/>
        <v>2772.000000004191</v>
      </c>
    </row>
    <row r="366" spans="1:7">
      <c r="A366" t="s">
        <v>9</v>
      </c>
      <c r="B366" t="s">
        <v>25</v>
      </c>
      <c r="C366" s="1">
        <v>45220.65902777778</v>
      </c>
      <c r="D366" t="s">
        <v>17</v>
      </c>
      <c r="E366" s="1">
        <v>45222.59652777778</v>
      </c>
      <c r="F366" t="str">
        <f>VLOOKUP(C366,Продукт!$C$2:$D$568,2,0)</f>
        <v>SaluteSpeech</v>
      </c>
      <c r="G366" s="2">
        <f t="shared" si="5"/>
        <v>2790</v>
      </c>
    </row>
    <row r="367" spans="1:7">
      <c r="A367" t="s">
        <v>5</v>
      </c>
      <c r="B367" t="s">
        <v>25</v>
      </c>
      <c r="C367" s="1">
        <v>45220.844444444447</v>
      </c>
      <c r="D367" t="s">
        <v>17</v>
      </c>
      <c r="E367" s="1">
        <v>45222.604166666664</v>
      </c>
      <c r="F367" t="str">
        <f>VLOOKUP(C367,Продукт!$C$2:$D$568,2,0)</f>
        <v>SaluteSpeech</v>
      </c>
      <c r="G367" s="2">
        <f t="shared" si="5"/>
        <v>2533.9999999932479</v>
      </c>
    </row>
    <row r="368" spans="1:7">
      <c r="A368" t="s">
        <v>5</v>
      </c>
      <c r="B368" t="s">
        <v>25</v>
      </c>
      <c r="C368" s="1">
        <v>45221.091666666667</v>
      </c>
      <c r="D368" t="s">
        <v>17</v>
      </c>
      <c r="E368" s="1">
        <v>45222.617361111108</v>
      </c>
      <c r="F368" t="str">
        <f>VLOOKUP(C368,Продукт!$C$2:$D$568,2,0)</f>
        <v>SaluteSpeech</v>
      </c>
      <c r="G368" s="2">
        <f t="shared" si="5"/>
        <v>2196.9999999948777</v>
      </c>
    </row>
    <row r="369" spans="1:7">
      <c r="A369" t="s">
        <v>5</v>
      </c>
      <c r="B369" t="s">
        <v>25</v>
      </c>
      <c r="C369" s="1">
        <v>45221.138888888891</v>
      </c>
      <c r="D369" t="s">
        <v>17</v>
      </c>
      <c r="E369" s="1">
        <v>45222.636805555558</v>
      </c>
      <c r="F369" t="str">
        <f>VLOOKUP(C369,Продукт!$C$2:$D$568,2,0)</f>
        <v>SaluteBot</v>
      </c>
      <c r="G369" s="2">
        <f t="shared" si="5"/>
        <v>2157.0000000006985</v>
      </c>
    </row>
    <row r="370" spans="1:7">
      <c r="A370" t="s">
        <v>5</v>
      </c>
      <c r="B370" t="s">
        <v>25</v>
      </c>
      <c r="C370" s="1">
        <v>45221.577777777777</v>
      </c>
      <c r="D370" t="s">
        <v>17</v>
      </c>
      <c r="E370" s="1">
        <v>45222.634722222225</v>
      </c>
      <c r="F370" t="str">
        <f>VLOOKUP(C370,Продукт!$C$2:$D$568,2,0)</f>
        <v>SaluteSpeech</v>
      </c>
      <c r="G370" s="2">
        <f t="shared" si="5"/>
        <v>1522.0000000053551</v>
      </c>
    </row>
    <row r="371" spans="1:7">
      <c r="A371" t="s">
        <v>1</v>
      </c>
      <c r="B371" t="s">
        <v>24</v>
      </c>
      <c r="C371" s="1">
        <v>45221.863888888889</v>
      </c>
      <c r="D371" t="s">
        <v>17</v>
      </c>
      <c r="E371" s="1">
        <v>45222.593055555553</v>
      </c>
      <c r="F371" t="str">
        <f>VLOOKUP(C371,Продукт!$C$2:$D$568,2,0)</f>
        <v>Jazz</v>
      </c>
      <c r="G371" s="2">
        <f t="shared" si="5"/>
        <v>1049.9999999965075</v>
      </c>
    </row>
    <row r="372" spans="1:7">
      <c r="A372" t="s">
        <v>5</v>
      </c>
      <c r="B372" t="s">
        <v>25</v>
      </c>
      <c r="C372" s="1">
        <v>45221.881944444445</v>
      </c>
      <c r="D372" t="s">
        <v>17</v>
      </c>
      <c r="E372" s="1">
        <v>45222.626388888886</v>
      </c>
      <c r="F372" t="str">
        <f>VLOOKUP(C372,Продукт!$C$2:$D$568,2,0)</f>
        <v>SaluteSpeech</v>
      </c>
      <c r="G372" s="2">
        <f t="shared" si="5"/>
        <v>1071.9999999948777</v>
      </c>
    </row>
    <row r="373" spans="1:7">
      <c r="A373" t="s">
        <v>7</v>
      </c>
      <c r="B373" t="s">
        <v>25</v>
      </c>
      <c r="C373" s="1">
        <v>45221.907638888886</v>
      </c>
      <c r="D373" t="s">
        <v>17</v>
      </c>
      <c r="E373" s="1">
        <v>45222.622916666667</v>
      </c>
      <c r="F373" t="str">
        <f>VLOOKUP(C373,Продукт!$C$2:$D$568,2,0)</f>
        <v>SaluteSpeech</v>
      </c>
      <c r="G373" s="2">
        <f t="shared" si="5"/>
        <v>1030.0000000046566</v>
      </c>
    </row>
    <row r="374" spans="1:7">
      <c r="A374" t="s">
        <v>9</v>
      </c>
      <c r="B374" t="s">
        <v>25</v>
      </c>
      <c r="C374" s="1">
        <v>45221.959722222222</v>
      </c>
      <c r="D374" t="s">
        <v>17</v>
      </c>
      <c r="E374" s="1">
        <v>45222.633333333331</v>
      </c>
      <c r="F374" t="str">
        <f>VLOOKUP(C374,Продукт!$C$2:$D$568,2,0)</f>
        <v>SaluteSpeech</v>
      </c>
      <c r="G374" s="2">
        <f t="shared" si="5"/>
        <v>969.99999999767169</v>
      </c>
    </row>
    <row r="375" spans="1:7">
      <c r="A375" t="s">
        <v>5</v>
      </c>
      <c r="B375" t="s">
        <v>25</v>
      </c>
      <c r="C375" s="1">
        <v>45221.98333333333</v>
      </c>
      <c r="D375" t="s">
        <v>17</v>
      </c>
      <c r="E375" s="1">
        <v>45222.602083333331</v>
      </c>
      <c r="F375" t="str">
        <f>VLOOKUP(C375,Продукт!$C$2:$D$568,2,0)</f>
        <v>Jazz</v>
      </c>
      <c r="G375" s="2">
        <f t="shared" si="5"/>
        <v>891.00000000209548</v>
      </c>
    </row>
    <row r="376" spans="1:7">
      <c r="A376" t="s">
        <v>5</v>
      </c>
      <c r="B376" t="s">
        <v>24</v>
      </c>
      <c r="C376" s="1">
        <v>45222.136805555558</v>
      </c>
      <c r="D376" t="s">
        <v>17</v>
      </c>
      <c r="E376" s="1">
        <v>45222.625694444447</v>
      </c>
      <c r="F376" t="str">
        <f>VLOOKUP(C376,Продукт!$C$2:$D$568,2,0)</f>
        <v>SaluteBot</v>
      </c>
      <c r="G376" s="2">
        <f t="shared" si="5"/>
        <v>704.00000000023283</v>
      </c>
    </row>
    <row r="377" spans="1:7">
      <c r="A377" t="s">
        <v>6</v>
      </c>
      <c r="B377" t="s">
        <v>24</v>
      </c>
      <c r="C377" s="1">
        <v>45222.443055555559</v>
      </c>
      <c r="D377" t="s">
        <v>17</v>
      </c>
      <c r="E377" s="1">
        <v>45222.50277777778</v>
      </c>
      <c r="F377" t="str">
        <f>VLOOKUP(C377,Продукт!$C$2:$D$568,2,0)</f>
        <v>SaluteBot</v>
      </c>
      <c r="G377" s="2">
        <f t="shared" si="5"/>
        <v>85.999999997438863</v>
      </c>
    </row>
    <row r="378" spans="1:7">
      <c r="A378" t="s">
        <v>5</v>
      </c>
      <c r="B378" t="s">
        <v>24</v>
      </c>
      <c r="C378" s="1">
        <v>45222.48333333333</v>
      </c>
      <c r="D378" t="s">
        <v>17</v>
      </c>
      <c r="E378" s="1">
        <v>45222.502083333333</v>
      </c>
      <c r="F378" t="str">
        <f>VLOOKUP(C378,Продукт!$C$2:$D$568,2,0)</f>
        <v>SaluteBot</v>
      </c>
      <c r="G378" s="2">
        <f t="shared" si="5"/>
        <v>27.000000004190952</v>
      </c>
    </row>
    <row r="379" spans="1:7">
      <c r="A379" t="s">
        <v>9</v>
      </c>
      <c r="B379" t="s">
        <v>25</v>
      </c>
      <c r="C379" s="1">
        <v>45218.594444444447</v>
      </c>
      <c r="D379" t="s">
        <v>17</v>
      </c>
      <c r="E379" s="1">
        <v>45218.600694444445</v>
      </c>
      <c r="F379" t="str">
        <f>VLOOKUP(C379,Продукт!$C$2:$D$568,2,0)</f>
        <v>Jazz</v>
      </c>
      <c r="G379" s="2">
        <f t="shared" si="5"/>
        <v>8.9999999979045242</v>
      </c>
    </row>
    <row r="380" spans="1:7">
      <c r="A380" t="s">
        <v>6</v>
      </c>
      <c r="B380" t="s">
        <v>25</v>
      </c>
      <c r="C380" s="1">
        <v>45218.598611111112</v>
      </c>
      <c r="D380" t="s">
        <v>17</v>
      </c>
      <c r="E380" s="1">
        <v>45218.613888888889</v>
      </c>
      <c r="F380" t="str">
        <f>VLOOKUP(C380,Продукт!$C$2:$D$568,2,0)</f>
        <v>Jazz</v>
      </c>
      <c r="G380" s="2">
        <f t="shared" si="5"/>
        <v>21.999999998370185</v>
      </c>
    </row>
    <row r="381" spans="1:7">
      <c r="A381" t="s">
        <v>12</v>
      </c>
      <c r="B381" t="s">
        <v>24</v>
      </c>
      <c r="C381" s="1">
        <v>45218.642361111109</v>
      </c>
      <c r="D381" t="s">
        <v>17</v>
      </c>
      <c r="E381" s="1">
        <v>45218.650694444441</v>
      </c>
      <c r="F381" t="str">
        <f>VLOOKUP(C381,Продукт!$C$2:$D$568,2,0)</f>
        <v>Jazz</v>
      </c>
      <c r="G381" s="2">
        <f t="shared" si="5"/>
        <v>11.999999997206032</v>
      </c>
    </row>
    <row r="382" spans="1:7">
      <c r="A382" t="s">
        <v>3</v>
      </c>
      <c r="B382" t="s">
        <v>24</v>
      </c>
      <c r="C382" s="1">
        <v>45218.669444444444</v>
      </c>
      <c r="D382" t="s">
        <v>17</v>
      </c>
      <c r="E382" s="1">
        <v>45218.674305555556</v>
      </c>
      <c r="F382" t="str">
        <f>VLOOKUP(C382,Продукт!$C$2:$D$568,2,0)</f>
        <v>SaluteBot</v>
      </c>
      <c r="G382" s="2">
        <f t="shared" si="5"/>
        <v>7.0000000018626451</v>
      </c>
    </row>
    <row r="383" spans="1:7">
      <c r="A383" t="s">
        <v>7</v>
      </c>
      <c r="B383" t="s">
        <v>24</v>
      </c>
      <c r="C383" s="1">
        <v>45218.695833333331</v>
      </c>
      <c r="D383" t="s">
        <v>17</v>
      </c>
      <c r="E383" s="1">
        <v>45218.698611111111</v>
      </c>
      <c r="F383" t="str">
        <f>VLOOKUP(C383,Продукт!$C$2:$D$568,2,0)</f>
        <v>SaluteSpeech</v>
      </c>
      <c r="G383" s="2">
        <f t="shared" si="5"/>
        <v>4.0000000025611371</v>
      </c>
    </row>
    <row r="384" spans="1:7">
      <c r="A384" t="s">
        <v>6</v>
      </c>
      <c r="B384" t="s">
        <v>24</v>
      </c>
      <c r="C384" s="1">
        <v>45218.729861111111</v>
      </c>
      <c r="D384" t="s">
        <v>17</v>
      </c>
      <c r="E384" s="1">
        <v>45218.742361111108</v>
      </c>
      <c r="F384" t="str">
        <f>VLOOKUP(C384,Продукт!$C$2:$D$568,2,0)</f>
        <v>Jazz</v>
      </c>
      <c r="G384" s="2">
        <f t="shared" si="5"/>
        <v>17.999999995809048</v>
      </c>
    </row>
    <row r="385" spans="1:7">
      <c r="A385" t="s">
        <v>6</v>
      </c>
      <c r="B385" t="s">
        <v>24</v>
      </c>
      <c r="C385" s="1">
        <v>45218.801388888889</v>
      </c>
      <c r="D385" t="s">
        <v>17</v>
      </c>
      <c r="E385" s="1">
        <v>45219.503472222219</v>
      </c>
      <c r="F385" t="str">
        <f>VLOOKUP(C385,Продукт!$C$2:$D$568,2,0)</f>
        <v>SaluteSpeech</v>
      </c>
      <c r="G385" s="2">
        <f t="shared" si="5"/>
        <v>1010.9999999951106</v>
      </c>
    </row>
    <row r="386" spans="1:7">
      <c r="A386" t="s">
        <v>7</v>
      </c>
      <c r="B386" t="s">
        <v>24</v>
      </c>
      <c r="C386" s="1">
        <v>45218.836111111108</v>
      </c>
      <c r="D386" t="s">
        <v>17</v>
      </c>
      <c r="E386" s="1">
        <v>45219.501388888886</v>
      </c>
      <c r="F386" t="str">
        <f>VLOOKUP(C386,Продукт!$C$2:$D$568,2,0)</f>
        <v>Jazz</v>
      </c>
      <c r="G386" s="2">
        <f t="shared" si="5"/>
        <v>958.00000000046566</v>
      </c>
    </row>
    <row r="387" spans="1:7">
      <c r="A387" t="s">
        <v>6</v>
      </c>
      <c r="B387" t="s">
        <v>24</v>
      </c>
      <c r="C387" s="1">
        <v>45218.838888888888</v>
      </c>
      <c r="D387" t="s">
        <v>17</v>
      </c>
      <c r="E387" s="1">
        <v>45219.502083333333</v>
      </c>
      <c r="F387" t="str">
        <f>VLOOKUP(C387,Продукт!$C$2:$D$568,2,0)</f>
        <v>SaluteSpeech</v>
      </c>
      <c r="G387" s="2">
        <f t="shared" ref="G387:G450" si="6">(E387-C387)*60*24</f>
        <v>955.00000000116415</v>
      </c>
    </row>
    <row r="388" spans="1:7">
      <c r="A388" t="s">
        <v>5</v>
      </c>
      <c r="B388" t="s">
        <v>25</v>
      </c>
      <c r="C388" s="1">
        <v>45218.913194444445</v>
      </c>
      <c r="D388" t="s">
        <v>17</v>
      </c>
      <c r="E388" s="1">
        <v>45219.509027777778</v>
      </c>
      <c r="F388" t="str">
        <f>VLOOKUP(C388,Продукт!$C$2:$D$568,2,0)</f>
        <v>SaluteSpeech</v>
      </c>
      <c r="G388" s="2">
        <f t="shared" si="6"/>
        <v>857.99999999930151</v>
      </c>
    </row>
    <row r="389" spans="1:7">
      <c r="A389" t="s">
        <v>6</v>
      </c>
      <c r="B389" t="s">
        <v>25</v>
      </c>
      <c r="C389" s="1">
        <v>45219.419444444444</v>
      </c>
      <c r="D389" t="s">
        <v>17</v>
      </c>
      <c r="E389" s="1">
        <v>45219.500694444447</v>
      </c>
      <c r="F389" t="str">
        <f>VLOOKUP(C389,Продукт!$C$2:$D$568,2,0)</f>
        <v>SaluteSpeech</v>
      </c>
      <c r="G389" s="2">
        <f t="shared" si="6"/>
        <v>117.00000000419095</v>
      </c>
    </row>
    <row r="390" spans="1:7">
      <c r="A390" t="s">
        <v>11</v>
      </c>
      <c r="B390" t="s">
        <v>24</v>
      </c>
      <c r="C390" s="1">
        <v>45219.560416666667</v>
      </c>
      <c r="D390" t="s">
        <v>17</v>
      </c>
      <c r="E390" s="1">
        <v>45219.575694444444</v>
      </c>
      <c r="F390" t="str">
        <f>VLOOKUP(C390,Продукт!$C$2:$D$568,2,0)</f>
        <v>SaluteSpeech</v>
      </c>
      <c r="G390" s="2">
        <f t="shared" si="6"/>
        <v>21.999999998370185</v>
      </c>
    </row>
    <row r="391" spans="1:7">
      <c r="A391" t="s">
        <v>1</v>
      </c>
      <c r="B391" t="s">
        <v>24</v>
      </c>
      <c r="C391" s="1">
        <v>45219.602777777778</v>
      </c>
      <c r="D391" t="s">
        <v>17</v>
      </c>
      <c r="E391" s="1">
        <v>45219.625</v>
      </c>
      <c r="F391" t="str">
        <f>VLOOKUP(C391,Продукт!$C$2:$D$568,2,0)</f>
        <v>Jazz</v>
      </c>
      <c r="G391" s="2">
        <f t="shared" si="6"/>
        <v>31.999999999534339</v>
      </c>
    </row>
    <row r="392" spans="1:7">
      <c r="A392" t="s">
        <v>5</v>
      </c>
      <c r="B392" t="s">
        <v>24</v>
      </c>
      <c r="C392" s="1">
        <v>45219.652083333334</v>
      </c>
      <c r="D392" t="s">
        <v>17</v>
      </c>
      <c r="E392" s="1">
        <v>45219.65347222222</v>
      </c>
      <c r="F392" t="str">
        <f>VLOOKUP(C392,Продукт!$C$2:$D$568,2,0)</f>
        <v>SaluteBot</v>
      </c>
      <c r="G392" s="2">
        <f t="shared" si="6"/>
        <v>1.9999999960418791</v>
      </c>
    </row>
    <row r="393" spans="1:7">
      <c r="A393" t="s">
        <v>9</v>
      </c>
      <c r="B393" t="s">
        <v>24</v>
      </c>
      <c r="C393" s="1">
        <v>45219.698611111111</v>
      </c>
      <c r="D393" t="s">
        <v>17</v>
      </c>
      <c r="E393" s="1">
        <v>45219.70208333333</v>
      </c>
      <c r="F393" t="str">
        <f>VLOOKUP(C393,Продукт!$C$2:$D$568,2,0)</f>
        <v>Jazz</v>
      </c>
      <c r="G393" s="2">
        <f t="shared" si="6"/>
        <v>4.9999999953433871</v>
      </c>
    </row>
    <row r="394" spans="1:7">
      <c r="A394" t="s">
        <v>5</v>
      </c>
      <c r="B394" t="s">
        <v>24</v>
      </c>
      <c r="C394" s="1">
        <v>45219.761111111111</v>
      </c>
      <c r="D394" t="s">
        <v>17</v>
      </c>
      <c r="E394" s="1">
        <v>45222.501388888886</v>
      </c>
      <c r="F394" t="str">
        <f>VLOOKUP(C394,Продукт!$C$2:$D$568,2,0)</f>
        <v>SaluteBot</v>
      </c>
      <c r="G394" s="2">
        <f t="shared" si="6"/>
        <v>3945.9999999962747</v>
      </c>
    </row>
    <row r="395" spans="1:7">
      <c r="A395" t="s">
        <v>11</v>
      </c>
      <c r="B395" t="s">
        <v>24</v>
      </c>
      <c r="C395" s="1">
        <v>45219.825694444444</v>
      </c>
      <c r="D395" t="s">
        <v>17</v>
      </c>
      <c r="E395" s="1">
        <v>45222.50277777778</v>
      </c>
      <c r="F395" t="str">
        <f>VLOOKUP(C395,Продукт!$C$2:$D$568,2,0)</f>
        <v>SaluteSpeech</v>
      </c>
      <c r="G395" s="2">
        <f t="shared" si="6"/>
        <v>3855.0000000034925</v>
      </c>
    </row>
    <row r="396" spans="1:7">
      <c r="A396" t="s">
        <v>5</v>
      </c>
      <c r="B396" t="s">
        <v>24</v>
      </c>
      <c r="C396" s="1">
        <v>45219.840277777781</v>
      </c>
      <c r="D396" t="s">
        <v>17</v>
      </c>
      <c r="E396" s="1">
        <v>45222.571527777778</v>
      </c>
      <c r="F396" t="str">
        <f>VLOOKUP(C396,Продукт!$C$2:$D$568,2,0)</f>
        <v>SaluteSpeech</v>
      </c>
      <c r="G396" s="2">
        <f t="shared" si="6"/>
        <v>3932.999999995809</v>
      </c>
    </row>
    <row r="397" spans="1:7">
      <c r="A397" t="s">
        <v>10</v>
      </c>
      <c r="B397" t="s">
        <v>24</v>
      </c>
      <c r="C397" s="1">
        <v>45222.504166666666</v>
      </c>
      <c r="D397" t="s">
        <v>17</v>
      </c>
      <c r="E397" s="1">
        <v>45222.512499999997</v>
      </c>
      <c r="F397" t="str">
        <f>VLOOKUP(C397,Продукт!$C$2:$D$568,2,0)</f>
        <v>SaluteBot</v>
      </c>
      <c r="G397" s="2">
        <f t="shared" si="6"/>
        <v>11.999999997206032</v>
      </c>
    </row>
    <row r="398" spans="1:7">
      <c r="A398" t="s">
        <v>6</v>
      </c>
      <c r="B398" t="s">
        <v>24</v>
      </c>
      <c r="C398" s="1">
        <v>45222.531944444447</v>
      </c>
      <c r="D398" t="s">
        <v>17</v>
      </c>
      <c r="E398" s="1">
        <v>45222.537499999999</v>
      </c>
      <c r="F398" t="str">
        <f>VLOOKUP(C398,Продукт!$C$2:$D$568,2,0)</f>
        <v>Jazz</v>
      </c>
      <c r="G398" s="2">
        <f t="shared" si="6"/>
        <v>7.9999999946448952</v>
      </c>
    </row>
    <row r="399" spans="1:7">
      <c r="A399" t="s">
        <v>3</v>
      </c>
      <c r="B399" t="s">
        <v>24</v>
      </c>
      <c r="C399" s="1">
        <v>45222.574999999997</v>
      </c>
      <c r="D399" t="s">
        <v>17</v>
      </c>
      <c r="E399" s="1">
        <v>45222.581944444442</v>
      </c>
      <c r="F399" t="str">
        <f>VLOOKUP(C399,Продукт!$C$2:$D$568,2,0)</f>
        <v>SaluteBot</v>
      </c>
      <c r="G399" s="2">
        <f t="shared" si="6"/>
        <v>10.000000001164153</v>
      </c>
    </row>
    <row r="400" spans="1:7">
      <c r="A400" t="s">
        <v>6</v>
      </c>
      <c r="B400" t="s">
        <v>25</v>
      </c>
      <c r="C400" s="1">
        <v>45222.576388888891</v>
      </c>
      <c r="D400" t="s">
        <v>17</v>
      </c>
      <c r="E400" s="1">
        <v>45222.593055555553</v>
      </c>
      <c r="F400" t="str">
        <f>VLOOKUP(C400,Продукт!$C$2:$D$568,2,0)</f>
        <v>Jazz</v>
      </c>
      <c r="G400" s="2">
        <f t="shared" si="6"/>
        <v>23.999999994412065</v>
      </c>
    </row>
    <row r="401" spans="1:7">
      <c r="A401" t="s">
        <v>5</v>
      </c>
      <c r="B401" t="s">
        <v>25</v>
      </c>
      <c r="C401" s="1">
        <v>45222.613888888889</v>
      </c>
      <c r="D401" t="s">
        <v>17</v>
      </c>
      <c r="E401" s="1">
        <v>45222.619444444441</v>
      </c>
      <c r="F401" t="str">
        <f>VLOOKUP(C401,Продукт!$C$2:$D$568,2,0)</f>
        <v>SaluteSpeech</v>
      </c>
      <c r="G401" s="2">
        <f t="shared" si="6"/>
        <v>7.9999999946448952</v>
      </c>
    </row>
    <row r="402" spans="1:7">
      <c r="A402" t="s">
        <v>7</v>
      </c>
      <c r="B402" t="s">
        <v>25</v>
      </c>
      <c r="C402" s="1">
        <v>45222.718055555553</v>
      </c>
      <c r="D402" t="s">
        <v>17</v>
      </c>
      <c r="E402" s="1">
        <v>45222.722916666666</v>
      </c>
      <c r="F402" t="str">
        <f>VLOOKUP(C402,Продукт!$C$2:$D$568,2,0)</f>
        <v>SaluteBot</v>
      </c>
      <c r="G402" s="2">
        <f t="shared" si="6"/>
        <v>7.0000000018626451</v>
      </c>
    </row>
    <row r="403" spans="1:7">
      <c r="A403" t="s">
        <v>5</v>
      </c>
      <c r="B403" t="s">
        <v>25</v>
      </c>
      <c r="C403" s="1">
        <v>45222.724305555559</v>
      </c>
      <c r="D403" t="s">
        <v>17</v>
      </c>
      <c r="E403" s="1">
        <v>45222.734722222223</v>
      </c>
      <c r="F403" t="str">
        <f>VLOOKUP(C403,Продукт!$C$2:$D$568,2,0)</f>
        <v>SaluteBot</v>
      </c>
      <c r="G403" s="2">
        <f t="shared" si="6"/>
        <v>14.99999999650754</v>
      </c>
    </row>
    <row r="404" spans="1:7">
      <c r="A404" t="s">
        <v>11</v>
      </c>
      <c r="B404" t="s">
        <v>25</v>
      </c>
      <c r="C404" s="1">
        <v>45222.757638888892</v>
      </c>
      <c r="D404" t="s">
        <v>17</v>
      </c>
      <c r="E404" s="1">
        <v>45222.76666666667</v>
      </c>
      <c r="F404" t="str">
        <f>VLOOKUP(C404,Продукт!$C$2:$D$568,2,0)</f>
        <v>SaluteSpeech</v>
      </c>
      <c r="G404" s="2">
        <f t="shared" si="6"/>
        <v>13.000000000465661</v>
      </c>
    </row>
    <row r="405" spans="1:7">
      <c r="A405" t="s">
        <v>6</v>
      </c>
      <c r="B405" t="s">
        <v>24</v>
      </c>
      <c r="C405" s="1">
        <v>45222.761111111111</v>
      </c>
      <c r="D405" t="s">
        <v>17</v>
      </c>
      <c r="E405" s="1">
        <v>45222.765277777777</v>
      </c>
      <c r="F405" t="str">
        <f>VLOOKUP(C405,Продукт!$C$2:$D$568,2,0)</f>
        <v>SaluteBot</v>
      </c>
      <c r="G405" s="2">
        <f t="shared" si="6"/>
        <v>5.9999999986030161</v>
      </c>
    </row>
    <row r="406" spans="1:7">
      <c r="A406" t="s">
        <v>6</v>
      </c>
      <c r="B406" t="s">
        <v>25</v>
      </c>
      <c r="C406" s="1">
        <v>45222.767361111109</v>
      </c>
      <c r="D406" t="s">
        <v>17</v>
      </c>
      <c r="E406" s="1">
        <v>45222.793749999997</v>
      </c>
      <c r="F406" t="str">
        <f>VLOOKUP(C406,Продукт!$C$2:$D$568,2,0)</f>
        <v>Jazz</v>
      </c>
      <c r="G406" s="2">
        <f t="shared" si="6"/>
        <v>37.999999998137355</v>
      </c>
    </row>
    <row r="407" spans="1:7">
      <c r="A407" t="s">
        <v>9</v>
      </c>
      <c r="B407" t="s">
        <v>25</v>
      </c>
      <c r="C407" s="1">
        <v>45222.771527777775</v>
      </c>
      <c r="D407" t="s">
        <v>17</v>
      </c>
      <c r="E407" s="1">
        <v>45222.799305555556</v>
      </c>
      <c r="F407" t="str">
        <f>VLOOKUP(C407,Продукт!$C$2:$D$568,2,0)</f>
        <v>SaluteSpeech</v>
      </c>
      <c r="G407" s="2">
        <f t="shared" si="6"/>
        <v>40.000000004656613</v>
      </c>
    </row>
    <row r="408" spans="1:7">
      <c r="A408" t="s">
        <v>3</v>
      </c>
      <c r="B408" t="s">
        <v>25</v>
      </c>
      <c r="C408" s="1">
        <v>45222.811111111114</v>
      </c>
      <c r="D408" t="s">
        <v>17</v>
      </c>
      <c r="E408" s="1">
        <v>45222.816666666666</v>
      </c>
      <c r="F408" t="str">
        <f>VLOOKUP(C408,Продукт!$C$2:$D$568,2,0)</f>
        <v>SaluteBot</v>
      </c>
      <c r="G408" s="2">
        <f t="shared" si="6"/>
        <v>7.9999999946448952</v>
      </c>
    </row>
    <row r="409" spans="1:7">
      <c r="A409" t="s">
        <v>7</v>
      </c>
      <c r="B409" t="s">
        <v>25</v>
      </c>
      <c r="C409" s="1">
        <v>45222.831944444442</v>
      </c>
      <c r="D409" t="s">
        <v>17</v>
      </c>
      <c r="E409" s="1">
        <v>45222.836111111108</v>
      </c>
      <c r="F409" t="str">
        <f>VLOOKUP(C409,Продукт!$C$2:$D$568,2,0)</f>
        <v>SaluteSpeech</v>
      </c>
      <c r="G409" s="2">
        <f t="shared" si="6"/>
        <v>5.9999999986030161</v>
      </c>
    </row>
    <row r="410" spans="1:7">
      <c r="A410" t="s">
        <v>6</v>
      </c>
      <c r="B410" t="s">
        <v>25</v>
      </c>
      <c r="C410" s="1">
        <v>45222.845833333333</v>
      </c>
      <c r="D410" t="s">
        <v>17</v>
      </c>
      <c r="E410" s="1">
        <v>45222.854166666664</v>
      </c>
      <c r="F410" t="str">
        <f>VLOOKUP(C410,Продукт!$C$2:$D$568,2,0)</f>
        <v>SaluteSpeech</v>
      </c>
      <c r="G410" s="2">
        <f t="shared" si="6"/>
        <v>11.999999997206032</v>
      </c>
    </row>
    <row r="411" spans="1:7">
      <c r="A411" t="s">
        <v>4</v>
      </c>
      <c r="B411" t="s">
        <v>25</v>
      </c>
      <c r="C411" s="1">
        <v>45222.84652777778</v>
      </c>
      <c r="D411" t="s">
        <v>17</v>
      </c>
      <c r="E411" s="1">
        <v>45222.864583333336</v>
      </c>
      <c r="F411" t="str">
        <f>VLOOKUP(C411,Продукт!$C$2:$D$568,2,0)</f>
        <v>Jazz</v>
      </c>
      <c r="G411" s="2">
        <f t="shared" si="6"/>
        <v>26.000000000931323</v>
      </c>
    </row>
    <row r="412" spans="1:7">
      <c r="A412" t="s">
        <v>5</v>
      </c>
      <c r="B412" t="s">
        <v>25</v>
      </c>
      <c r="C412" s="1">
        <v>45222.867361111108</v>
      </c>
      <c r="D412" t="s">
        <v>17</v>
      </c>
      <c r="E412" s="1">
        <v>45222.870833333334</v>
      </c>
      <c r="F412" t="str">
        <f>VLOOKUP(C412,Продукт!$C$2:$D$568,2,0)</f>
        <v>Jazz</v>
      </c>
      <c r="G412" s="2">
        <f t="shared" si="6"/>
        <v>5.0000000058207661</v>
      </c>
    </row>
    <row r="413" spans="1:7">
      <c r="A413" t="s">
        <v>5</v>
      </c>
      <c r="B413" t="s">
        <v>24</v>
      </c>
      <c r="C413" s="1">
        <v>45222.938888888886</v>
      </c>
      <c r="D413" t="s">
        <v>17</v>
      </c>
      <c r="E413" s="1">
        <v>45223.502083333333</v>
      </c>
      <c r="F413" t="str">
        <f>VLOOKUP(C413,Продукт!$C$2:$D$568,2,0)</f>
        <v>SaluteBot</v>
      </c>
      <c r="G413" s="2">
        <f t="shared" si="6"/>
        <v>811.00000000325963</v>
      </c>
    </row>
    <row r="414" spans="1:7">
      <c r="A414" t="s">
        <v>11</v>
      </c>
      <c r="B414" t="s">
        <v>24</v>
      </c>
      <c r="C414" s="1">
        <v>45222.993055555555</v>
      </c>
      <c r="D414" t="s">
        <v>17</v>
      </c>
      <c r="E414" s="1">
        <v>45223.513194444444</v>
      </c>
      <c r="F414" t="str">
        <f>VLOOKUP(C414,Продукт!$C$2:$D$568,2,0)</f>
        <v>SaluteBot</v>
      </c>
      <c r="G414" s="2">
        <f t="shared" si="6"/>
        <v>749.00000000023283</v>
      </c>
    </row>
    <row r="415" spans="1:7">
      <c r="A415" t="s">
        <v>12</v>
      </c>
      <c r="B415" t="s">
        <v>25</v>
      </c>
      <c r="C415" s="1">
        <v>45223.29791666667</v>
      </c>
      <c r="D415" t="s">
        <v>17</v>
      </c>
      <c r="E415" s="1">
        <v>45223.500694444447</v>
      </c>
      <c r="F415" t="str">
        <f>VLOOKUP(C415,Продукт!$C$2:$D$568,2,0)</f>
        <v>Jazz</v>
      </c>
      <c r="G415" s="2">
        <f t="shared" si="6"/>
        <v>291.99999999837019</v>
      </c>
    </row>
    <row r="416" spans="1:7">
      <c r="A416" t="s">
        <v>5</v>
      </c>
      <c r="B416" t="s">
        <v>24</v>
      </c>
      <c r="C416" s="1">
        <v>45223.441666666666</v>
      </c>
      <c r="D416" t="s">
        <v>17</v>
      </c>
      <c r="E416" s="1">
        <v>45223.500694444447</v>
      </c>
      <c r="F416" t="str">
        <f>VLOOKUP(C416,Продукт!$C$2:$D$568,2,0)</f>
        <v>Jazz</v>
      </c>
      <c r="G416" s="2">
        <f t="shared" si="6"/>
        <v>85.000000004656613</v>
      </c>
    </row>
    <row r="417" spans="1:7">
      <c r="A417" t="s">
        <v>7</v>
      </c>
      <c r="B417" t="s">
        <v>24</v>
      </c>
      <c r="C417" s="1">
        <v>45223.511805555558</v>
      </c>
      <c r="D417" t="s">
        <v>17</v>
      </c>
      <c r="E417" s="1">
        <v>45223.518055555556</v>
      </c>
      <c r="F417" t="str">
        <f>VLOOKUP(C417,Продукт!$C$2:$D$568,2,0)</f>
        <v>Jazz</v>
      </c>
      <c r="G417" s="2">
        <f t="shared" si="6"/>
        <v>8.9999999979045242</v>
      </c>
    </row>
    <row r="418" spans="1:7">
      <c r="A418" t="s">
        <v>5</v>
      </c>
      <c r="B418" t="s">
        <v>24</v>
      </c>
      <c r="C418" s="1">
        <v>45223.659722222219</v>
      </c>
      <c r="D418" t="s">
        <v>17</v>
      </c>
      <c r="E418" s="1">
        <v>45223.668055555558</v>
      </c>
      <c r="F418" t="str">
        <f>VLOOKUP(C418,Продукт!$C$2:$D$568,2,0)</f>
        <v>SaluteBot</v>
      </c>
      <c r="G418" s="2">
        <f t="shared" si="6"/>
        <v>12.000000007683411</v>
      </c>
    </row>
    <row r="419" spans="1:7">
      <c r="A419" t="s">
        <v>12</v>
      </c>
      <c r="B419" t="s">
        <v>24</v>
      </c>
      <c r="C419" s="1">
        <v>45223.665277777778</v>
      </c>
      <c r="D419" t="s">
        <v>17</v>
      </c>
      <c r="E419" s="1">
        <v>45223.674305555556</v>
      </c>
      <c r="F419" t="str">
        <f>VLOOKUP(C419,Продукт!$C$2:$D$568,2,0)</f>
        <v>SaluteSpeech</v>
      </c>
      <c r="G419" s="2">
        <f t="shared" si="6"/>
        <v>13.000000000465661</v>
      </c>
    </row>
    <row r="420" spans="1:7">
      <c r="A420" t="s">
        <v>9</v>
      </c>
      <c r="B420" t="s">
        <v>25</v>
      </c>
      <c r="C420" s="1">
        <v>45223.665277777778</v>
      </c>
      <c r="D420" t="s">
        <v>17</v>
      </c>
      <c r="E420" s="1">
        <v>45223.672222222223</v>
      </c>
      <c r="F420" t="str">
        <f>VLOOKUP(C420,Продукт!$C$2:$D$568,2,0)</f>
        <v>SaluteSpeech</v>
      </c>
      <c r="G420" s="2">
        <f t="shared" si="6"/>
        <v>10.000000001164153</v>
      </c>
    </row>
    <row r="421" spans="1:7">
      <c r="A421" t="s">
        <v>6</v>
      </c>
      <c r="B421" t="s">
        <v>24</v>
      </c>
      <c r="C421" s="1">
        <v>45223.665277777778</v>
      </c>
      <c r="D421" t="s">
        <v>17</v>
      </c>
      <c r="E421" s="1">
        <v>45223.688194444447</v>
      </c>
      <c r="F421" t="str">
        <f>VLOOKUP(C421,Продукт!$C$2:$D$568,2,0)</f>
        <v>SaluteSpeech</v>
      </c>
      <c r="G421" s="2">
        <f t="shared" si="6"/>
        <v>33.000000002793968</v>
      </c>
    </row>
    <row r="422" spans="1:7">
      <c r="A422" t="s">
        <v>5</v>
      </c>
      <c r="B422" t="s">
        <v>25</v>
      </c>
      <c r="C422" s="1">
        <v>45223.669444444444</v>
      </c>
      <c r="D422" t="s">
        <v>17</v>
      </c>
      <c r="E422" s="1">
        <v>45223.674305555556</v>
      </c>
      <c r="F422" t="str">
        <f>VLOOKUP(C422,Продукт!$C$2:$D$568,2,0)</f>
        <v>SaluteBot</v>
      </c>
      <c r="G422" s="2">
        <f t="shared" si="6"/>
        <v>7.0000000018626451</v>
      </c>
    </row>
    <row r="423" spans="1:7">
      <c r="A423" t="s">
        <v>5</v>
      </c>
      <c r="B423" t="s">
        <v>24</v>
      </c>
      <c r="C423" s="1">
        <v>45223.725694444445</v>
      </c>
      <c r="D423" t="s">
        <v>17</v>
      </c>
      <c r="E423" s="1">
        <v>45223.738888888889</v>
      </c>
      <c r="F423" t="str">
        <f>VLOOKUP(C423,Продукт!$C$2:$D$568,2,0)</f>
        <v>SaluteSpeech</v>
      </c>
      <c r="G423" s="2">
        <f t="shared" si="6"/>
        <v>18.999999999068677</v>
      </c>
    </row>
    <row r="424" spans="1:7">
      <c r="A424" t="s">
        <v>5</v>
      </c>
      <c r="B424" t="s">
        <v>24</v>
      </c>
      <c r="C424" s="1">
        <v>45223.731249999997</v>
      </c>
      <c r="D424" t="s">
        <v>17</v>
      </c>
      <c r="E424" s="1">
        <v>45223.740972222222</v>
      </c>
      <c r="F424" t="str">
        <f>VLOOKUP(C424,Продукт!$C$2:$D$568,2,0)</f>
        <v>SaluteBot</v>
      </c>
      <c r="G424" s="2">
        <f t="shared" si="6"/>
        <v>14.00000000372529</v>
      </c>
    </row>
    <row r="425" spans="1:7">
      <c r="A425" t="s">
        <v>9</v>
      </c>
      <c r="B425" t="s">
        <v>25</v>
      </c>
      <c r="C425" s="1">
        <v>45223.769444444442</v>
      </c>
      <c r="D425" t="s">
        <v>17</v>
      </c>
      <c r="E425" s="1">
        <v>45223.776388888888</v>
      </c>
      <c r="F425" t="str">
        <f>VLOOKUP(C425,Продукт!$C$2:$D$568,2,0)</f>
        <v>SaluteSpeech</v>
      </c>
      <c r="G425" s="2">
        <f t="shared" si="6"/>
        <v>10.000000001164153</v>
      </c>
    </row>
    <row r="426" spans="1:7">
      <c r="A426" t="s">
        <v>11</v>
      </c>
      <c r="B426" t="s">
        <v>25</v>
      </c>
      <c r="C426" s="1">
        <v>45223.777777777781</v>
      </c>
      <c r="D426" t="s">
        <v>17</v>
      </c>
      <c r="E426" s="1">
        <v>45223.790972222225</v>
      </c>
      <c r="F426" t="str">
        <f>VLOOKUP(C426,Продукт!$C$2:$D$568,2,0)</f>
        <v>SaluteSpeech</v>
      </c>
      <c r="G426" s="2">
        <f t="shared" si="6"/>
        <v>18.999999999068677</v>
      </c>
    </row>
    <row r="427" spans="1:7">
      <c r="A427" t="s">
        <v>11</v>
      </c>
      <c r="B427" t="s">
        <v>25</v>
      </c>
      <c r="C427" s="1">
        <v>45223.840277777781</v>
      </c>
      <c r="D427" t="s">
        <v>17</v>
      </c>
      <c r="E427" s="1">
        <v>45223.843055555553</v>
      </c>
      <c r="F427" t="str">
        <f>VLOOKUP(C427,Продукт!$C$2:$D$568,2,0)</f>
        <v>SaluteSpeech</v>
      </c>
      <c r="G427" s="2">
        <f t="shared" si="6"/>
        <v>3.9999999920837581</v>
      </c>
    </row>
    <row r="428" spans="1:7">
      <c r="A428" t="s">
        <v>5</v>
      </c>
      <c r="B428" t="s">
        <v>25</v>
      </c>
      <c r="C428" s="1">
        <v>45223.851388888892</v>
      </c>
      <c r="D428" t="s">
        <v>17</v>
      </c>
      <c r="E428" s="1">
        <v>45223.856249999997</v>
      </c>
      <c r="F428" t="str">
        <f>VLOOKUP(C428,Продукт!$C$2:$D$568,2,0)</f>
        <v>Jazz</v>
      </c>
      <c r="G428" s="2">
        <f t="shared" si="6"/>
        <v>6.9999999913852662</v>
      </c>
    </row>
    <row r="429" spans="1:7">
      <c r="A429" t="s">
        <v>10</v>
      </c>
      <c r="B429" t="s">
        <v>25</v>
      </c>
      <c r="C429" s="1">
        <v>45223.855555555558</v>
      </c>
      <c r="D429" t="s">
        <v>17</v>
      </c>
      <c r="E429" s="1">
        <v>45223.86041666667</v>
      </c>
      <c r="F429" t="str">
        <f>VLOOKUP(C429,Продукт!$C$2:$D$568,2,0)</f>
        <v>SaluteSpeech</v>
      </c>
      <c r="G429" s="2">
        <f t="shared" si="6"/>
        <v>7.0000000018626451</v>
      </c>
    </row>
    <row r="430" spans="1:7">
      <c r="A430" t="s">
        <v>6</v>
      </c>
      <c r="B430" t="s">
        <v>24</v>
      </c>
      <c r="C430" s="1">
        <v>45223.89166666667</v>
      </c>
      <c r="D430" t="s">
        <v>17</v>
      </c>
      <c r="E430" s="1">
        <v>45224.515972222223</v>
      </c>
      <c r="F430" t="str">
        <f>VLOOKUP(C430,Продукт!$C$2:$D$568,2,0)</f>
        <v>SaluteSpeech</v>
      </c>
      <c r="G430" s="2">
        <f t="shared" si="6"/>
        <v>898.99999999674037</v>
      </c>
    </row>
    <row r="431" spans="1:7">
      <c r="A431" t="s">
        <v>11</v>
      </c>
      <c r="B431" t="s">
        <v>25</v>
      </c>
      <c r="C431" s="1">
        <v>45224.002083333333</v>
      </c>
      <c r="D431" t="s">
        <v>17</v>
      </c>
      <c r="E431" s="1">
        <v>45224.51666666667</v>
      </c>
      <c r="F431" t="str">
        <f>VLOOKUP(C431,Продукт!$C$2:$D$568,2,0)</f>
        <v>SaluteSpeech</v>
      </c>
      <c r="G431" s="2">
        <f t="shared" si="6"/>
        <v>741.00000000558794</v>
      </c>
    </row>
    <row r="432" spans="1:7">
      <c r="A432" t="s">
        <v>11</v>
      </c>
      <c r="B432" t="s">
        <v>24</v>
      </c>
      <c r="C432" s="1">
        <v>45224.14166666667</v>
      </c>
      <c r="D432" t="s">
        <v>17</v>
      </c>
      <c r="E432" s="1">
        <v>45224.51458333333</v>
      </c>
      <c r="F432" t="str">
        <f>VLOOKUP(C432,Продукт!$C$2:$D$568,2,0)</f>
        <v>Jazz</v>
      </c>
      <c r="G432" s="2">
        <f t="shared" si="6"/>
        <v>536.99999999022111</v>
      </c>
    </row>
    <row r="433" spans="1:7">
      <c r="A433" t="s">
        <v>9</v>
      </c>
      <c r="B433" t="s">
        <v>24</v>
      </c>
      <c r="C433" s="1">
        <v>45224.521527777775</v>
      </c>
      <c r="D433" t="s">
        <v>17</v>
      </c>
      <c r="E433" s="1">
        <v>45224.539583333331</v>
      </c>
      <c r="F433" t="str">
        <f>VLOOKUP(C433,Продукт!$C$2:$D$568,2,0)</f>
        <v>SaluteBot</v>
      </c>
      <c r="G433" s="2">
        <f t="shared" si="6"/>
        <v>26.000000000931323</v>
      </c>
    </row>
    <row r="434" spans="1:7">
      <c r="A434" t="s">
        <v>10</v>
      </c>
      <c r="B434" t="s">
        <v>25</v>
      </c>
      <c r="C434" s="1">
        <v>45224.545138888891</v>
      </c>
      <c r="D434" t="s">
        <v>17</v>
      </c>
      <c r="E434" s="1">
        <v>45224.561805555553</v>
      </c>
      <c r="F434" t="str">
        <f>VLOOKUP(C434,Продукт!$C$2:$D$568,2,0)</f>
        <v>Jazz</v>
      </c>
      <c r="G434" s="2">
        <f t="shared" si="6"/>
        <v>23.999999994412065</v>
      </c>
    </row>
    <row r="435" spans="1:7">
      <c r="A435" t="s">
        <v>5</v>
      </c>
      <c r="B435" t="s">
        <v>25</v>
      </c>
      <c r="C435" s="1">
        <v>45224.548611111109</v>
      </c>
      <c r="D435" t="s">
        <v>17</v>
      </c>
      <c r="E435" s="1">
        <v>45224.556250000001</v>
      </c>
      <c r="F435" t="str">
        <f>VLOOKUP(C435,Продукт!$C$2:$D$568,2,0)</f>
        <v>Jazz</v>
      </c>
      <c r="G435" s="2">
        <f t="shared" si="6"/>
        <v>11.000000004423782</v>
      </c>
    </row>
    <row r="436" spans="1:7">
      <c r="A436" t="s">
        <v>1</v>
      </c>
      <c r="B436" t="s">
        <v>24</v>
      </c>
      <c r="C436" s="1">
        <v>45224.55972222222</v>
      </c>
      <c r="D436" t="s">
        <v>17</v>
      </c>
      <c r="E436" s="1">
        <v>45224.561111111114</v>
      </c>
      <c r="F436" t="str">
        <f>VLOOKUP(C436,Продукт!$C$2:$D$568,2,0)</f>
        <v>Jazz</v>
      </c>
      <c r="G436" s="2">
        <f t="shared" si="6"/>
        <v>2.000000006519258</v>
      </c>
    </row>
    <row r="437" spans="1:7">
      <c r="A437" t="s">
        <v>5</v>
      </c>
      <c r="B437" t="s">
        <v>25</v>
      </c>
      <c r="C437" s="1">
        <v>45224.580555555556</v>
      </c>
      <c r="D437" t="s">
        <v>17</v>
      </c>
      <c r="E437" s="1">
        <v>45224.590277777781</v>
      </c>
      <c r="F437" t="str">
        <f>VLOOKUP(C437,Продукт!$C$2:$D$568,2,0)</f>
        <v>Jazz</v>
      </c>
      <c r="G437" s="2">
        <f t="shared" si="6"/>
        <v>14.00000000372529</v>
      </c>
    </row>
    <row r="438" spans="1:7">
      <c r="A438" t="s">
        <v>11</v>
      </c>
      <c r="B438" t="s">
        <v>25</v>
      </c>
      <c r="C438" s="1">
        <v>45224.59375</v>
      </c>
      <c r="D438" t="s">
        <v>17</v>
      </c>
      <c r="E438" s="1">
        <v>45224.59652777778</v>
      </c>
      <c r="F438" t="str">
        <f>VLOOKUP(C438,Продукт!$C$2:$D$568,2,0)</f>
        <v>SaluteSpeech</v>
      </c>
      <c r="G438" s="2">
        <f t="shared" si="6"/>
        <v>4.0000000025611371</v>
      </c>
    </row>
    <row r="439" spans="1:7">
      <c r="A439" t="s">
        <v>9</v>
      </c>
      <c r="B439" t="s">
        <v>25</v>
      </c>
      <c r="C439" s="1">
        <v>45224.59375</v>
      </c>
      <c r="D439" t="s">
        <v>17</v>
      </c>
      <c r="E439" s="1">
        <v>45224.595138888886</v>
      </c>
      <c r="F439" t="str">
        <f>VLOOKUP(C439,Продукт!$C$2:$D$568,2,0)</f>
        <v>SaluteSpeech</v>
      </c>
      <c r="G439" s="2">
        <f t="shared" si="6"/>
        <v>1.9999999960418791</v>
      </c>
    </row>
    <row r="440" spans="1:7">
      <c r="A440" t="s">
        <v>5</v>
      </c>
      <c r="B440" t="s">
        <v>24</v>
      </c>
      <c r="C440" s="1">
        <v>45224.602083333331</v>
      </c>
      <c r="D440" t="s">
        <v>17</v>
      </c>
      <c r="E440" s="1">
        <v>45224.609027777777</v>
      </c>
      <c r="F440" t="str">
        <f>VLOOKUP(C440,Продукт!$C$2:$D$568,2,0)</f>
        <v>Jazz</v>
      </c>
      <c r="G440" s="2">
        <f t="shared" si="6"/>
        <v>10.000000001164153</v>
      </c>
    </row>
    <row r="441" spans="1:7">
      <c r="A441" t="s">
        <v>6</v>
      </c>
      <c r="B441" t="s">
        <v>25</v>
      </c>
      <c r="C441" s="1">
        <v>45224.604166666664</v>
      </c>
      <c r="D441" t="s">
        <v>17</v>
      </c>
      <c r="E441" s="1">
        <v>45224.609722222223</v>
      </c>
      <c r="F441" t="str">
        <f>VLOOKUP(C441,Продукт!$C$2:$D$568,2,0)</f>
        <v>Jazz</v>
      </c>
      <c r="G441" s="2">
        <f t="shared" si="6"/>
        <v>8.0000000051222742</v>
      </c>
    </row>
    <row r="442" spans="1:7">
      <c r="A442" t="s">
        <v>5</v>
      </c>
      <c r="B442" t="s">
        <v>25</v>
      </c>
      <c r="C442" s="1">
        <v>45224.648611111108</v>
      </c>
      <c r="D442" t="s">
        <v>17</v>
      </c>
      <c r="E442" s="1">
        <v>45224.675694444442</v>
      </c>
      <c r="F442" t="str">
        <f>VLOOKUP(C442,Продукт!$C$2:$D$568,2,0)</f>
        <v>SaluteBot</v>
      </c>
      <c r="G442" s="2">
        <f t="shared" si="6"/>
        <v>39.000000001396984</v>
      </c>
    </row>
    <row r="443" spans="1:7">
      <c r="A443" t="s">
        <v>10</v>
      </c>
      <c r="B443" t="s">
        <v>25</v>
      </c>
      <c r="C443" s="1">
        <v>45224.663888888892</v>
      </c>
      <c r="D443" t="s">
        <v>17</v>
      </c>
      <c r="E443" s="1">
        <v>45224.674305555556</v>
      </c>
      <c r="F443" t="str">
        <f>VLOOKUP(C443,Продукт!$C$2:$D$568,2,0)</f>
        <v>SaluteBot</v>
      </c>
      <c r="G443" s="2">
        <f t="shared" si="6"/>
        <v>14.99999999650754</v>
      </c>
    </row>
    <row r="444" spans="1:7">
      <c r="A444" t="s">
        <v>7</v>
      </c>
      <c r="B444" t="s">
        <v>24</v>
      </c>
      <c r="C444" s="1">
        <v>45224.686805555553</v>
      </c>
      <c r="D444" t="s">
        <v>17</v>
      </c>
      <c r="E444" s="1">
        <v>45224.695138888892</v>
      </c>
      <c r="F444" t="str">
        <f>VLOOKUP(C444,Продукт!$C$2:$D$568,2,0)</f>
        <v>Jazz</v>
      </c>
      <c r="G444" s="2">
        <f t="shared" si="6"/>
        <v>12.000000007683411</v>
      </c>
    </row>
    <row r="445" spans="1:7">
      <c r="A445" t="s">
        <v>4</v>
      </c>
      <c r="B445" t="s">
        <v>24</v>
      </c>
      <c r="C445" s="1">
        <v>45224.706250000003</v>
      </c>
      <c r="D445" t="s">
        <v>17</v>
      </c>
      <c r="E445" s="1">
        <v>45224.714583333334</v>
      </c>
      <c r="F445" t="str">
        <f>VLOOKUP(C445,Продукт!$C$2:$D$568,2,0)</f>
        <v>Jazz</v>
      </c>
      <c r="G445" s="2">
        <f t="shared" si="6"/>
        <v>11.999999997206032</v>
      </c>
    </row>
    <row r="446" spans="1:7">
      <c r="A446" t="s">
        <v>6</v>
      </c>
      <c r="B446" t="s">
        <v>25</v>
      </c>
      <c r="C446" s="1">
        <v>45224.71875</v>
      </c>
      <c r="D446" t="s">
        <v>17</v>
      </c>
      <c r="E446" s="1">
        <v>45224.753472222219</v>
      </c>
      <c r="F446" t="str">
        <f>VLOOKUP(C446,Продукт!$C$2:$D$568,2,0)</f>
        <v>Jazz</v>
      </c>
      <c r="G446" s="2">
        <f t="shared" si="6"/>
        <v>49.999999995343387</v>
      </c>
    </row>
    <row r="447" spans="1:7">
      <c r="A447" t="s">
        <v>5</v>
      </c>
      <c r="B447" t="s">
        <v>25</v>
      </c>
      <c r="C447" s="1">
        <v>45224.72152777778</v>
      </c>
      <c r="D447" t="s">
        <v>17</v>
      </c>
      <c r="E447" s="1">
        <v>45224.734722222223</v>
      </c>
      <c r="F447" t="str">
        <f>VLOOKUP(C447,Продукт!$C$2:$D$568,2,0)</f>
        <v>Jazz</v>
      </c>
      <c r="G447" s="2">
        <f t="shared" si="6"/>
        <v>18.999999999068677</v>
      </c>
    </row>
    <row r="448" spans="1:7">
      <c r="A448" t="s">
        <v>3</v>
      </c>
      <c r="B448" t="s">
        <v>24</v>
      </c>
      <c r="C448" s="1">
        <v>45224.722222222219</v>
      </c>
      <c r="D448" t="s">
        <v>17</v>
      </c>
      <c r="E448" s="1">
        <v>45224.734027777777</v>
      </c>
      <c r="F448" t="str">
        <f>VLOOKUP(C448,Продукт!$C$2:$D$568,2,0)</f>
        <v>SaluteBot</v>
      </c>
      <c r="G448" s="2">
        <f t="shared" si="6"/>
        <v>17.000000003026798</v>
      </c>
    </row>
    <row r="449" spans="1:7">
      <c r="A449" t="s">
        <v>9</v>
      </c>
      <c r="B449" t="s">
        <v>25</v>
      </c>
      <c r="C449" s="1">
        <v>45224.723611111112</v>
      </c>
      <c r="D449" t="s">
        <v>17</v>
      </c>
      <c r="E449" s="1">
        <v>45224.726388888892</v>
      </c>
      <c r="F449" t="str">
        <f>VLOOKUP(C449,Продукт!$C$2:$D$568,2,0)</f>
        <v>Jazz</v>
      </c>
      <c r="G449" s="2">
        <f t="shared" si="6"/>
        <v>4.0000000025611371</v>
      </c>
    </row>
    <row r="450" spans="1:7">
      <c r="A450" t="s">
        <v>6</v>
      </c>
      <c r="B450" t="s">
        <v>24</v>
      </c>
      <c r="C450" s="1">
        <v>45224.76666666667</v>
      </c>
      <c r="D450" t="s">
        <v>17</v>
      </c>
      <c r="E450" s="1">
        <v>45224.788888888892</v>
      </c>
      <c r="F450" t="str">
        <f>VLOOKUP(C450,Продукт!$C$2:$D$568,2,0)</f>
        <v>SaluteSpeech</v>
      </c>
      <c r="G450" s="2">
        <f t="shared" si="6"/>
        <v>31.999999999534339</v>
      </c>
    </row>
    <row r="451" spans="1:7">
      <c r="A451" t="s">
        <v>7</v>
      </c>
      <c r="B451" t="s">
        <v>25</v>
      </c>
      <c r="C451" s="1">
        <v>45224.780555555553</v>
      </c>
      <c r="D451" t="s">
        <v>17</v>
      </c>
      <c r="E451" s="1">
        <v>45224.786111111112</v>
      </c>
      <c r="F451" t="str">
        <f>VLOOKUP(C451,Продукт!$C$2:$D$568,2,0)</f>
        <v>SaluteBot</v>
      </c>
      <c r="G451" s="2">
        <f t="shared" ref="G451:G514" si="7">(E451-C451)*60*24</f>
        <v>8.0000000051222742</v>
      </c>
    </row>
    <row r="452" spans="1:7">
      <c r="A452" t="s">
        <v>10</v>
      </c>
      <c r="B452" t="s">
        <v>25</v>
      </c>
      <c r="C452" s="1">
        <v>45224.78402777778</v>
      </c>
      <c r="D452" t="s">
        <v>17</v>
      </c>
      <c r="E452" s="1">
        <v>45224.800694444442</v>
      </c>
      <c r="F452" t="str">
        <f>VLOOKUP(C452,Продукт!$C$2:$D$568,2,0)</f>
        <v>Jazz</v>
      </c>
      <c r="G452" s="2">
        <f t="shared" si="7"/>
        <v>23.999999994412065</v>
      </c>
    </row>
    <row r="453" spans="1:7">
      <c r="A453" t="s">
        <v>10</v>
      </c>
      <c r="B453" t="s">
        <v>25</v>
      </c>
      <c r="C453" s="1">
        <v>45224.786111111112</v>
      </c>
      <c r="D453" t="s">
        <v>17</v>
      </c>
      <c r="E453" s="1">
        <v>45224.805555555555</v>
      </c>
      <c r="F453" t="str">
        <f>VLOOKUP(C453,Продукт!$C$2:$D$568,2,0)</f>
        <v>Jazz</v>
      </c>
      <c r="G453" s="2">
        <f t="shared" si="7"/>
        <v>27.999999996973202</v>
      </c>
    </row>
    <row r="454" spans="1:7">
      <c r="A454" t="s">
        <v>9</v>
      </c>
      <c r="B454" t="s">
        <v>25</v>
      </c>
      <c r="C454" s="1">
        <v>45224.800694444442</v>
      </c>
      <c r="D454" t="s">
        <v>17</v>
      </c>
      <c r="E454" s="1">
        <v>45224.810416666667</v>
      </c>
      <c r="F454" t="str">
        <f>VLOOKUP(C454,Продукт!$C$2:$D$568,2,0)</f>
        <v>Jazz</v>
      </c>
      <c r="G454" s="2">
        <f t="shared" si="7"/>
        <v>14.00000000372529</v>
      </c>
    </row>
    <row r="455" spans="1:7">
      <c r="A455" t="s">
        <v>11</v>
      </c>
      <c r="B455" t="s">
        <v>25</v>
      </c>
      <c r="C455" s="1">
        <v>45224.813194444447</v>
      </c>
      <c r="D455" t="s">
        <v>17</v>
      </c>
      <c r="E455" s="1">
        <v>45224.817361111112</v>
      </c>
      <c r="F455" t="str">
        <f>VLOOKUP(C455,Продукт!$C$2:$D$568,2,0)</f>
        <v>Jazz</v>
      </c>
      <c r="G455" s="2">
        <f t="shared" si="7"/>
        <v>5.9999999986030161</v>
      </c>
    </row>
    <row r="456" spans="1:7">
      <c r="A456" t="s">
        <v>4</v>
      </c>
      <c r="B456" t="s">
        <v>25</v>
      </c>
      <c r="C456" s="1" t="s">
        <v>14</v>
      </c>
      <c r="D456" t="s">
        <v>17</v>
      </c>
      <c r="E456" s="1">
        <v>45224.841666666667</v>
      </c>
      <c r="F456" t="str">
        <f>VLOOKUP(C456,Продукт!$C$2:$D$568,2,0)</f>
        <v>Jazz</v>
      </c>
      <c r="G456" s="2"/>
    </row>
    <row r="457" spans="1:7">
      <c r="A457" t="s">
        <v>11</v>
      </c>
      <c r="B457" t="s">
        <v>25</v>
      </c>
      <c r="C457" s="1">
        <v>45224.852083333331</v>
      </c>
      <c r="D457" t="s">
        <v>17</v>
      </c>
      <c r="E457" s="1">
        <v>45224.855555555558</v>
      </c>
      <c r="F457" t="str">
        <f>VLOOKUP(C457,Продукт!$C$2:$D$568,2,0)</f>
        <v>Jazz</v>
      </c>
      <c r="G457" s="2">
        <f t="shared" si="7"/>
        <v>5.0000000058207661</v>
      </c>
    </row>
    <row r="458" spans="1:7">
      <c r="A458" t="s">
        <v>6</v>
      </c>
      <c r="B458" t="s">
        <v>24</v>
      </c>
      <c r="C458" s="1">
        <v>45224.881249999999</v>
      </c>
      <c r="D458" t="s">
        <v>17</v>
      </c>
      <c r="E458" s="1">
        <v>45225.517361111109</v>
      </c>
      <c r="F458" t="str">
        <f>VLOOKUP(C458,Продукт!$C$2:$D$568,2,0)</f>
        <v>SaluteSpeech</v>
      </c>
      <c r="G458" s="2">
        <f t="shared" si="7"/>
        <v>915.99999999976717</v>
      </c>
    </row>
    <row r="459" spans="1:7">
      <c r="A459" t="s">
        <v>5</v>
      </c>
      <c r="B459" t="s">
        <v>24</v>
      </c>
      <c r="C459" s="1">
        <v>45224.894444444442</v>
      </c>
      <c r="D459" t="s">
        <v>17</v>
      </c>
      <c r="E459" s="1">
        <v>45225.520833333336</v>
      </c>
      <c r="F459" t="str">
        <f>VLOOKUP(C459,Продукт!$C$2:$D$568,2,0)</f>
        <v>SaluteSpeech</v>
      </c>
      <c r="G459" s="2">
        <f t="shared" si="7"/>
        <v>902.00000000651926</v>
      </c>
    </row>
    <row r="460" spans="1:7">
      <c r="A460" t="s">
        <v>3</v>
      </c>
      <c r="B460" t="s">
        <v>24</v>
      </c>
      <c r="C460" s="1">
        <v>45224.907638888886</v>
      </c>
      <c r="D460" t="s">
        <v>17</v>
      </c>
      <c r="E460" s="1">
        <v>45225.526388888888</v>
      </c>
      <c r="F460" t="str">
        <f>VLOOKUP(C460,Продукт!$C$2:$D$568,2,0)</f>
        <v>SaluteBot</v>
      </c>
      <c r="G460" s="2">
        <f t="shared" si="7"/>
        <v>891.00000000209548</v>
      </c>
    </row>
    <row r="461" spans="1:7">
      <c r="A461" t="s">
        <v>5</v>
      </c>
      <c r="B461" t="s">
        <v>24</v>
      </c>
      <c r="C461" s="1">
        <v>45224.921527777777</v>
      </c>
      <c r="D461" t="s">
        <v>17</v>
      </c>
      <c r="E461" s="1">
        <v>45225.529166666667</v>
      </c>
      <c r="F461" t="str">
        <f>VLOOKUP(C461,Продукт!$C$2:$D$568,2,0)</f>
        <v>Jazz</v>
      </c>
      <c r="G461" s="2">
        <f t="shared" si="7"/>
        <v>875.00000000232831</v>
      </c>
    </row>
    <row r="462" spans="1:7">
      <c r="A462" t="s">
        <v>10</v>
      </c>
      <c r="B462" t="s">
        <v>25</v>
      </c>
      <c r="C462" s="1">
        <v>45224.946527777778</v>
      </c>
      <c r="D462" t="s">
        <v>17</v>
      </c>
      <c r="E462" s="1">
        <v>45225.532638888886</v>
      </c>
      <c r="F462" t="str">
        <f>VLOOKUP(C462,Продукт!$C$2:$D$568,2,0)</f>
        <v>SaluteSpeech</v>
      </c>
      <c r="G462" s="2">
        <f t="shared" si="7"/>
        <v>843.99999999557622</v>
      </c>
    </row>
    <row r="463" spans="1:7">
      <c r="A463" t="s">
        <v>1</v>
      </c>
      <c r="B463" t="s">
        <v>24</v>
      </c>
      <c r="C463" s="1">
        <v>45225.179166666669</v>
      </c>
      <c r="D463" t="s">
        <v>17</v>
      </c>
      <c r="E463" s="1">
        <v>45225.513888888891</v>
      </c>
      <c r="F463" t="str">
        <f>VLOOKUP(C463,Продукт!$C$2:$D$568,2,0)</f>
        <v>Jazz</v>
      </c>
      <c r="G463" s="2">
        <f t="shared" si="7"/>
        <v>481.99999999953434</v>
      </c>
    </row>
    <row r="464" spans="1:7">
      <c r="A464" t="s">
        <v>11</v>
      </c>
      <c r="B464" t="s">
        <v>24</v>
      </c>
      <c r="C464" s="1">
        <v>45225.186805555553</v>
      </c>
      <c r="D464" t="s">
        <v>17</v>
      </c>
      <c r="E464" s="1">
        <v>45225.502083333333</v>
      </c>
      <c r="F464" t="str">
        <f>VLOOKUP(C464,Продукт!$C$2:$D$568,2,0)</f>
        <v>SaluteBot</v>
      </c>
      <c r="G464" s="2">
        <f t="shared" si="7"/>
        <v>454.00000000256114</v>
      </c>
    </row>
    <row r="465" spans="1:7">
      <c r="A465" t="s">
        <v>8</v>
      </c>
      <c r="B465" t="s">
        <v>24</v>
      </c>
      <c r="C465" s="1">
        <v>45225.448611111111</v>
      </c>
      <c r="D465" t="s">
        <v>17</v>
      </c>
      <c r="E465" s="1">
        <v>45225.500694444447</v>
      </c>
      <c r="F465" t="str">
        <f>VLOOKUP(C465,Продукт!$C$2:$D$568,2,0)</f>
        <v>Jazz</v>
      </c>
      <c r="G465" s="2">
        <f t="shared" si="7"/>
        <v>75.00000000349246</v>
      </c>
    </row>
    <row r="466" spans="1:7">
      <c r="A466" t="s">
        <v>6</v>
      </c>
      <c r="B466" t="s">
        <v>24</v>
      </c>
      <c r="C466" s="1">
        <v>45225.449305555558</v>
      </c>
      <c r="D466" t="s">
        <v>17</v>
      </c>
      <c r="E466" s="1">
        <v>45225.501388888886</v>
      </c>
      <c r="F466" t="str">
        <f>VLOOKUP(C466,Продукт!$C$2:$D$568,2,0)</f>
        <v>Jazz</v>
      </c>
      <c r="G466" s="2">
        <f t="shared" si="7"/>
        <v>74.999999993015081</v>
      </c>
    </row>
    <row r="467" spans="1:7">
      <c r="A467" t="s">
        <v>10</v>
      </c>
      <c r="B467" t="s">
        <v>25</v>
      </c>
      <c r="C467" s="1">
        <v>45225.508333333331</v>
      </c>
      <c r="D467" t="s">
        <v>17</v>
      </c>
      <c r="E467" s="1">
        <v>45225.513888888891</v>
      </c>
      <c r="F467" t="str">
        <f>VLOOKUP(C467,Продукт!$C$2:$D$568,2,0)</f>
        <v>Jazz</v>
      </c>
      <c r="G467" s="2">
        <f t="shared" si="7"/>
        <v>8.0000000051222742</v>
      </c>
    </row>
    <row r="468" spans="1:7">
      <c r="A468" t="s">
        <v>11</v>
      </c>
      <c r="B468" t="s">
        <v>24</v>
      </c>
      <c r="C468" s="1">
        <v>45225.520833333336</v>
      </c>
      <c r="D468" t="s">
        <v>17</v>
      </c>
      <c r="E468" s="1">
        <v>45225.522222222222</v>
      </c>
      <c r="F468" t="str">
        <f>VLOOKUP(C468,Продукт!$C$2:$D$568,2,0)</f>
        <v>Jazz</v>
      </c>
      <c r="G468" s="2">
        <f t="shared" si="7"/>
        <v>1.9999999960418791</v>
      </c>
    </row>
    <row r="469" spans="1:7">
      <c r="A469" t="s">
        <v>11</v>
      </c>
      <c r="B469" t="s">
        <v>25</v>
      </c>
      <c r="C469" s="1">
        <v>45225.604166666664</v>
      </c>
      <c r="D469" t="s">
        <v>17</v>
      </c>
      <c r="E469" s="1">
        <v>45225.609027777777</v>
      </c>
      <c r="F469" t="str">
        <f>VLOOKUP(C469,Продукт!$C$2:$D$568,2,0)</f>
        <v>SaluteBot</v>
      </c>
      <c r="G469" s="2">
        <f t="shared" si="7"/>
        <v>7.0000000018626451</v>
      </c>
    </row>
    <row r="470" spans="1:7">
      <c r="A470" t="s">
        <v>7</v>
      </c>
      <c r="B470" t="s">
        <v>24</v>
      </c>
      <c r="C470" s="1">
        <v>45225.620833333334</v>
      </c>
      <c r="D470" t="s">
        <v>17</v>
      </c>
      <c r="E470" s="1">
        <v>45225.637499999997</v>
      </c>
      <c r="F470" t="str">
        <f>VLOOKUP(C470,Продукт!$C$2:$D$568,2,0)</f>
        <v>Jazz</v>
      </c>
      <c r="G470" s="2">
        <f t="shared" si="7"/>
        <v>23.999999994412065</v>
      </c>
    </row>
    <row r="471" spans="1:7">
      <c r="A471" t="s">
        <v>3</v>
      </c>
      <c r="B471" t="s">
        <v>24</v>
      </c>
      <c r="C471" s="1">
        <v>45225.660416666666</v>
      </c>
      <c r="D471" t="s">
        <v>17</v>
      </c>
      <c r="E471" s="1">
        <v>45225.664583333331</v>
      </c>
      <c r="F471" t="str">
        <f>VLOOKUP(C471,Продукт!$C$2:$D$568,2,0)</f>
        <v>SaluteBot</v>
      </c>
      <c r="G471" s="2">
        <f t="shared" si="7"/>
        <v>5.9999999986030161</v>
      </c>
    </row>
    <row r="472" spans="1:7">
      <c r="A472" t="s">
        <v>11</v>
      </c>
      <c r="B472" t="s">
        <v>25</v>
      </c>
      <c r="C472" s="1">
        <v>45225.685416666667</v>
      </c>
      <c r="D472" t="s">
        <v>17</v>
      </c>
      <c r="E472" s="1">
        <v>45225.688194444447</v>
      </c>
      <c r="F472" t="str">
        <f>VLOOKUP(C472,Продукт!$C$2:$D$568,2,0)</f>
        <v>SaluteBot</v>
      </c>
      <c r="G472" s="2">
        <f t="shared" si="7"/>
        <v>4.0000000025611371</v>
      </c>
    </row>
    <row r="473" spans="1:7">
      <c r="A473" t="s">
        <v>5</v>
      </c>
      <c r="B473" t="s">
        <v>25</v>
      </c>
      <c r="C473" s="1">
        <v>45225.722916666666</v>
      </c>
      <c r="D473" t="s">
        <v>17</v>
      </c>
      <c r="E473" s="1">
        <v>45225.728472222225</v>
      </c>
      <c r="F473" t="str">
        <f>VLOOKUP(C473,Продукт!$C$2:$D$568,2,0)</f>
        <v>Jazz</v>
      </c>
      <c r="G473" s="2">
        <f t="shared" si="7"/>
        <v>8.0000000051222742</v>
      </c>
    </row>
    <row r="474" spans="1:7">
      <c r="A474" t="s">
        <v>4</v>
      </c>
      <c r="B474" t="s">
        <v>25</v>
      </c>
      <c r="C474" s="1">
        <v>45225.803472222222</v>
      </c>
      <c r="D474" t="s">
        <v>17</v>
      </c>
      <c r="E474" s="1">
        <v>45225.8125</v>
      </c>
      <c r="F474" t="str">
        <f>VLOOKUP(C474,Продукт!$C$2:$D$568,2,0)</f>
        <v>Jazz</v>
      </c>
      <c r="G474" s="2">
        <f t="shared" si="7"/>
        <v>13.000000000465661</v>
      </c>
    </row>
    <row r="475" spans="1:7">
      <c r="A475" t="s">
        <v>5</v>
      </c>
      <c r="B475" t="s">
        <v>25</v>
      </c>
      <c r="C475" s="1">
        <v>45225.804861111108</v>
      </c>
      <c r="D475" t="s">
        <v>17</v>
      </c>
      <c r="E475" s="1">
        <v>45225.816666666666</v>
      </c>
      <c r="F475" t="str">
        <f>VLOOKUP(C475,Продукт!$C$2:$D$568,2,0)</f>
        <v>Jazz</v>
      </c>
      <c r="G475" s="2">
        <f t="shared" si="7"/>
        <v>17.000000003026798</v>
      </c>
    </row>
    <row r="476" spans="1:7">
      <c r="A476" t="s">
        <v>11</v>
      </c>
      <c r="B476" t="s">
        <v>24</v>
      </c>
      <c r="C476" s="1">
        <v>45225.865972222222</v>
      </c>
      <c r="D476" t="s">
        <v>17</v>
      </c>
      <c r="E476" s="1">
        <v>45226.518750000003</v>
      </c>
      <c r="F476" t="str">
        <f>VLOOKUP(C476,Продукт!$C$2:$D$568,2,0)</f>
        <v>SaluteSpeech</v>
      </c>
      <c r="G476" s="2">
        <f t="shared" si="7"/>
        <v>940.00000000465661</v>
      </c>
    </row>
    <row r="477" spans="1:7">
      <c r="A477" t="s">
        <v>3</v>
      </c>
      <c r="B477" t="s">
        <v>24</v>
      </c>
      <c r="C477" s="1">
        <v>45225.868750000001</v>
      </c>
      <c r="D477" t="s">
        <v>17</v>
      </c>
      <c r="E477" s="1">
        <v>45226.522222222222</v>
      </c>
      <c r="F477" t="str">
        <f>VLOOKUP(C477,Продукт!$C$2:$D$568,2,0)</f>
        <v>SaluteBot</v>
      </c>
      <c r="G477" s="2">
        <f t="shared" si="7"/>
        <v>940.99999999743886</v>
      </c>
    </row>
    <row r="478" spans="1:7">
      <c r="A478" t="s">
        <v>5</v>
      </c>
      <c r="B478" t="s">
        <v>25</v>
      </c>
      <c r="C478" s="1">
        <v>45225.870833333334</v>
      </c>
      <c r="D478" t="s">
        <v>17</v>
      </c>
      <c r="E478" s="1">
        <v>45226.530555555553</v>
      </c>
      <c r="F478" t="str">
        <f>VLOOKUP(C478,Продукт!$C$2:$D$568,2,0)</f>
        <v>SaluteBot</v>
      </c>
      <c r="G478" s="2">
        <f t="shared" si="7"/>
        <v>949.99999999534339</v>
      </c>
    </row>
    <row r="479" spans="1:7">
      <c r="A479" t="s">
        <v>11</v>
      </c>
      <c r="B479" t="s">
        <v>24</v>
      </c>
      <c r="C479" s="1">
        <v>45225.875</v>
      </c>
      <c r="D479" t="s">
        <v>17</v>
      </c>
      <c r="E479" s="1">
        <v>45226.515972222223</v>
      </c>
      <c r="F479" t="str">
        <f>VLOOKUP(C479,Продукт!$C$2:$D$568,2,0)</f>
        <v>Jazz</v>
      </c>
      <c r="G479" s="2">
        <f t="shared" si="7"/>
        <v>923.00000000162981</v>
      </c>
    </row>
    <row r="480" spans="1:7">
      <c r="A480" t="s">
        <v>3</v>
      </c>
      <c r="B480" t="s">
        <v>24</v>
      </c>
      <c r="C480" s="1">
        <v>45225.943055555559</v>
      </c>
      <c r="D480" t="s">
        <v>17</v>
      </c>
      <c r="E480" s="1">
        <v>45226.51458333333</v>
      </c>
      <c r="F480" t="str">
        <f>VLOOKUP(C480,Продукт!$C$2:$D$568,2,0)</f>
        <v>SaluteBot</v>
      </c>
      <c r="G480" s="2">
        <f t="shared" si="7"/>
        <v>822.99999998998828</v>
      </c>
    </row>
    <row r="481" spans="1:7">
      <c r="A481" t="s">
        <v>5</v>
      </c>
      <c r="B481" t="s">
        <v>24</v>
      </c>
      <c r="C481" s="1">
        <v>45226.413194444445</v>
      </c>
      <c r="D481" t="s">
        <v>18</v>
      </c>
      <c r="E481" s="1">
        <v>45226.500694444447</v>
      </c>
      <c r="F481" t="str">
        <f>VLOOKUP(C481,Продукт!$C$2:$D$568,2,0)</f>
        <v>Jazz</v>
      </c>
      <c r="G481" s="2">
        <f t="shared" si="7"/>
        <v>126.00000000209548</v>
      </c>
    </row>
    <row r="482" spans="1:7">
      <c r="A482" t="s">
        <v>3</v>
      </c>
      <c r="B482" t="s">
        <v>24</v>
      </c>
      <c r="C482" s="1">
        <v>45226.486111111109</v>
      </c>
      <c r="D482" t="s">
        <v>17</v>
      </c>
      <c r="E482" s="1">
        <v>45226.501388888886</v>
      </c>
      <c r="F482" t="str">
        <f>VLOOKUP(C482,Продукт!$C$2:$D$568,2,0)</f>
        <v>SaluteBot</v>
      </c>
      <c r="G482" s="2">
        <f t="shared" si="7"/>
        <v>21.999999998370185</v>
      </c>
    </row>
    <row r="483" spans="1:7">
      <c r="A483" t="s">
        <v>3</v>
      </c>
      <c r="B483" t="s">
        <v>24</v>
      </c>
      <c r="C483" s="1">
        <v>45226.489583333336</v>
      </c>
      <c r="D483" t="s">
        <v>17</v>
      </c>
      <c r="E483" s="1">
        <v>45226.500694444447</v>
      </c>
      <c r="F483" t="str">
        <f>VLOOKUP(C483,Продукт!$C$2:$D$568,2,0)</f>
        <v>SaluteBot</v>
      </c>
      <c r="G483" s="2">
        <f t="shared" si="7"/>
        <v>15.999999999767169</v>
      </c>
    </row>
    <row r="484" spans="1:7">
      <c r="A484" t="s">
        <v>5</v>
      </c>
      <c r="B484" t="s">
        <v>24</v>
      </c>
      <c r="C484" s="1">
        <v>45226.600694444445</v>
      </c>
      <c r="D484" t="s">
        <v>17</v>
      </c>
      <c r="E484" s="1">
        <v>45226.602083333331</v>
      </c>
      <c r="F484" t="str">
        <f>VLOOKUP(C484,Продукт!$C$2:$D$568,2,0)</f>
        <v>Jazz</v>
      </c>
      <c r="G484" s="2">
        <f t="shared" si="7"/>
        <v>1.9999999960418791</v>
      </c>
    </row>
    <row r="485" spans="1:7">
      <c r="A485" t="s">
        <v>5</v>
      </c>
      <c r="B485" t="s">
        <v>25</v>
      </c>
      <c r="C485" s="1">
        <v>45226.602083333331</v>
      </c>
      <c r="D485" t="s">
        <v>17</v>
      </c>
      <c r="E485" s="1">
        <v>45226.604166666664</v>
      </c>
      <c r="F485" t="str">
        <f>VLOOKUP(C485,Продукт!$C$2:$D$568,2,0)</f>
        <v>SaluteBot</v>
      </c>
      <c r="G485" s="2">
        <f t="shared" si="7"/>
        <v>2.9999999993015081</v>
      </c>
    </row>
    <row r="486" spans="1:7">
      <c r="A486" t="s">
        <v>6</v>
      </c>
      <c r="B486" t="s">
        <v>25</v>
      </c>
      <c r="C486" s="1">
        <v>45226.604166666664</v>
      </c>
      <c r="D486" t="s">
        <v>17</v>
      </c>
      <c r="E486" s="1">
        <v>45226.61041666667</v>
      </c>
      <c r="F486" t="str">
        <f>VLOOKUP(C486,Продукт!$C$2:$D$568,2,0)</f>
        <v>SaluteSpeech</v>
      </c>
      <c r="G486" s="2">
        <f t="shared" si="7"/>
        <v>9.0000000083819032</v>
      </c>
    </row>
    <row r="487" spans="1:7">
      <c r="A487" t="s">
        <v>4</v>
      </c>
      <c r="B487" t="s">
        <v>25</v>
      </c>
      <c r="C487" s="1">
        <v>45226.662499999999</v>
      </c>
      <c r="D487" t="s">
        <v>17</v>
      </c>
      <c r="E487" s="1">
        <v>45226.678472222222</v>
      </c>
      <c r="F487" t="str">
        <f>VLOOKUP(C487,Продукт!$C$2:$D$568,2,0)</f>
        <v>Jazz</v>
      </c>
      <c r="G487" s="2">
        <f t="shared" si="7"/>
        <v>23.000000001629815</v>
      </c>
    </row>
    <row r="488" spans="1:7">
      <c r="A488" t="s">
        <v>5</v>
      </c>
      <c r="B488" t="s">
        <v>24</v>
      </c>
      <c r="C488" s="1">
        <v>45226.680555555555</v>
      </c>
      <c r="D488" t="s">
        <v>17</v>
      </c>
      <c r="E488" s="1">
        <v>45226.697916666664</v>
      </c>
      <c r="F488" t="str">
        <f>VLOOKUP(C488,Продукт!$C$2:$D$568,2,0)</f>
        <v>Jazz</v>
      </c>
      <c r="G488" s="2">
        <f t="shared" si="7"/>
        <v>24.999999997671694</v>
      </c>
    </row>
    <row r="489" spans="1:7">
      <c r="A489" t="s">
        <v>7</v>
      </c>
      <c r="B489" t="s">
        <v>24</v>
      </c>
      <c r="C489" s="1">
        <v>45226.694444444445</v>
      </c>
      <c r="D489" t="s">
        <v>17</v>
      </c>
      <c r="E489" s="1">
        <v>45226.708333333336</v>
      </c>
      <c r="F489" t="str">
        <f>VLOOKUP(C489,Продукт!$C$2:$D$568,2,0)</f>
        <v>SaluteBot</v>
      </c>
      <c r="G489" s="2">
        <f t="shared" si="7"/>
        <v>20.000000002328306</v>
      </c>
    </row>
    <row r="490" spans="1:7">
      <c r="A490" t="s">
        <v>3</v>
      </c>
      <c r="B490" t="s">
        <v>25</v>
      </c>
      <c r="C490" s="1">
        <v>45226.754861111112</v>
      </c>
      <c r="D490" t="s">
        <v>17</v>
      </c>
      <c r="E490" s="1">
        <v>45226.761805555558</v>
      </c>
      <c r="F490" t="str">
        <f>VLOOKUP(C490,Продукт!$C$2:$D$568,2,0)</f>
        <v>SaluteBot</v>
      </c>
      <c r="G490" s="2">
        <f t="shared" si="7"/>
        <v>10.000000001164153</v>
      </c>
    </row>
    <row r="491" spans="1:7">
      <c r="A491" t="s">
        <v>9</v>
      </c>
      <c r="B491" t="s">
        <v>25</v>
      </c>
      <c r="C491" s="1">
        <v>45226.779861111114</v>
      </c>
      <c r="D491" t="s">
        <v>17</v>
      </c>
      <c r="E491" s="1">
        <v>45226.793749999997</v>
      </c>
      <c r="F491" t="str">
        <f>VLOOKUP(C491,Продукт!$C$2:$D$568,2,0)</f>
        <v>Jazz</v>
      </c>
      <c r="G491" s="2">
        <f t="shared" si="7"/>
        <v>19.999999991850927</v>
      </c>
    </row>
    <row r="492" spans="1:7">
      <c r="A492" t="s">
        <v>5</v>
      </c>
      <c r="B492" t="s">
        <v>25</v>
      </c>
      <c r="C492" s="1">
        <v>45226.783333333333</v>
      </c>
      <c r="D492" t="s">
        <v>17</v>
      </c>
      <c r="E492" s="1">
        <v>45226.795138888891</v>
      </c>
      <c r="F492" t="str">
        <f>VLOOKUP(C492,Продукт!$C$2:$D$568,2,0)</f>
        <v>SaluteSpeech</v>
      </c>
      <c r="G492" s="2">
        <f t="shared" si="7"/>
        <v>17.000000003026798</v>
      </c>
    </row>
    <row r="493" spans="1:7">
      <c r="A493" t="s">
        <v>1</v>
      </c>
      <c r="B493" t="s">
        <v>25</v>
      </c>
      <c r="C493" s="1">
        <v>45226.82916666667</v>
      </c>
      <c r="D493" t="s">
        <v>17</v>
      </c>
      <c r="E493" s="1">
        <v>45226.831944444442</v>
      </c>
      <c r="F493" t="str">
        <f>VLOOKUP(C493,Продукт!$C$2:$D$568,2,0)</f>
        <v>Jazz</v>
      </c>
      <c r="G493" s="2">
        <f t="shared" si="7"/>
        <v>3.9999999920837581</v>
      </c>
    </row>
    <row r="494" spans="1:7">
      <c r="A494" t="s">
        <v>4</v>
      </c>
      <c r="B494" t="s">
        <v>24</v>
      </c>
      <c r="C494" s="1">
        <v>45226.841666666667</v>
      </c>
      <c r="D494" t="s">
        <v>17</v>
      </c>
      <c r="E494" s="1">
        <v>45229.515277777777</v>
      </c>
      <c r="F494" t="str">
        <f>VLOOKUP(C494,Продукт!$C$2:$D$568,2,0)</f>
        <v>Jazz</v>
      </c>
      <c r="G494" s="2">
        <f t="shared" si="7"/>
        <v>3849.9999999976717</v>
      </c>
    </row>
    <row r="495" spans="1:7">
      <c r="A495" t="s">
        <v>11</v>
      </c>
      <c r="B495" t="s">
        <v>24</v>
      </c>
      <c r="C495" s="1">
        <v>45226.888194444444</v>
      </c>
      <c r="D495" t="s">
        <v>17</v>
      </c>
      <c r="E495" s="1">
        <v>45229.51666666667</v>
      </c>
      <c r="F495" t="str">
        <f>VLOOKUP(C495,Продукт!$C$2:$D$568,2,0)</f>
        <v>Jazz</v>
      </c>
      <c r="G495" s="2">
        <f t="shared" si="7"/>
        <v>3785.0000000058208</v>
      </c>
    </row>
    <row r="496" spans="1:7">
      <c r="A496" t="s">
        <v>4</v>
      </c>
      <c r="B496" t="s">
        <v>24</v>
      </c>
      <c r="C496" s="1">
        <v>45227.418749999997</v>
      </c>
      <c r="D496" t="s">
        <v>17</v>
      </c>
      <c r="E496" s="1">
        <v>45229.501388888886</v>
      </c>
      <c r="F496" t="str">
        <f>VLOOKUP(C496,Продукт!$C$2:$D$568,2,0)</f>
        <v>SaluteBot</v>
      </c>
      <c r="G496" s="2">
        <f t="shared" si="7"/>
        <v>2999.0000000002328</v>
      </c>
    </row>
    <row r="497" spans="1:7">
      <c r="A497" t="s">
        <v>11</v>
      </c>
      <c r="B497" t="s">
        <v>24</v>
      </c>
      <c r="C497" s="1">
        <v>45227.75</v>
      </c>
      <c r="D497" t="s">
        <v>17</v>
      </c>
      <c r="E497" s="1">
        <v>45229.518055555556</v>
      </c>
      <c r="F497" t="str">
        <f>VLOOKUP(C497,Продукт!$C$2:$D$568,2,0)</f>
        <v>SaluteSpeech</v>
      </c>
      <c r="G497" s="2">
        <f t="shared" si="7"/>
        <v>2546.0000000009313</v>
      </c>
    </row>
    <row r="498" spans="1:7">
      <c r="A498" t="s">
        <v>4</v>
      </c>
      <c r="B498" t="s">
        <v>24</v>
      </c>
      <c r="C498" s="1">
        <v>45227.79583333333</v>
      </c>
      <c r="D498" t="s">
        <v>17</v>
      </c>
      <c r="E498" s="1">
        <v>45229.519444444442</v>
      </c>
      <c r="F498" t="str">
        <f>VLOOKUP(C498,Продукт!$C$2:$D$568,2,0)</f>
        <v>SaluteBot</v>
      </c>
      <c r="G498" s="2">
        <f t="shared" si="7"/>
        <v>2482.0000000018626</v>
      </c>
    </row>
    <row r="499" spans="1:7">
      <c r="A499" t="s">
        <v>8</v>
      </c>
      <c r="B499" t="s">
        <v>25</v>
      </c>
      <c r="C499" s="1">
        <v>45227.822222222225</v>
      </c>
      <c r="D499" t="s">
        <v>17</v>
      </c>
      <c r="E499" s="1">
        <v>45229.520138888889</v>
      </c>
      <c r="F499" t="str">
        <f>VLOOKUP(C499,Продукт!$C$2:$D$568,2,0)</f>
        <v>SaluteSpeech</v>
      </c>
      <c r="G499" s="2">
        <f t="shared" si="7"/>
        <v>2444.9999999965075</v>
      </c>
    </row>
    <row r="500" spans="1:7">
      <c r="A500" t="s">
        <v>11</v>
      </c>
      <c r="B500" t="s">
        <v>24</v>
      </c>
      <c r="C500" s="1">
        <v>45227.825694444444</v>
      </c>
      <c r="D500" t="s">
        <v>17</v>
      </c>
      <c r="E500" s="1">
        <v>45229.520833333336</v>
      </c>
      <c r="F500" t="str">
        <f>VLOOKUP(C500,Продукт!$C$2:$D$568,2,0)</f>
        <v>SaluteBot</v>
      </c>
      <c r="G500" s="2">
        <f t="shared" si="7"/>
        <v>2441.0000000044238</v>
      </c>
    </row>
    <row r="501" spans="1:7">
      <c r="A501" t="s">
        <v>4</v>
      </c>
      <c r="B501" t="s">
        <v>25</v>
      </c>
      <c r="C501" s="1">
        <v>45227.930555555555</v>
      </c>
      <c r="D501" t="s">
        <v>17</v>
      </c>
      <c r="E501" s="1">
        <v>45229.523611111108</v>
      </c>
      <c r="F501" t="str">
        <f>VLOOKUP(C501,Продукт!$C$2:$D$568,2,0)</f>
        <v>SaluteBot</v>
      </c>
      <c r="G501" s="2">
        <f t="shared" si="7"/>
        <v>2293.9999999967404</v>
      </c>
    </row>
    <row r="502" spans="1:7">
      <c r="A502" t="s">
        <v>4</v>
      </c>
      <c r="B502" t="s">
        <v>24</v>
      </c>
      <c r="C502" s="1">
        <v>45228.035416666666</v>
      </c>
      <c r="D502" t="s">
        <v>17</v>
      </c>
      <c r="E502" s="1">
        <v>45229.522916666669</v>
      </c>
      <c r="F502" t="str">
        <f>VLOOKUP(C502,Продукт!$C$2:$D$568,2,0)</f>
        <v>SaluteBot</v>
      </c>
      <c r="G502" s="2">
        <f t="shared" si="7"/>
        <v>2142.000000004191</v>
      </c>
    </row>
    <row r="503" spans="1:7">
      <c r="A503" t="s">
        <v>11</v>
      </c>
      <c r="B503" t="s">
        <v>24</v>
      </c>
      <c r="C503" s="1">
        <v>45229.410416666666</v>
      </c>
      <c r="D503" t="s">
        <v>17</v>
      </c>
      <c r="E503" s="1">
        <v>45229.500694444447</v>
      </c>
      <c r="F503" t="str">
        <f>VLOOKUP(C503,Продукт!$C$2:$D$568,2,0)</f>
        <v>Jazz</v>
      </c>
      <c r="G503" s="2">
        <f t="shared" si="7"/>
        <v>130.00000000465661</v>
      </c>
    </row>
    <row r="504" spans="1:7">
      <c r="A504" t="s">
        <v>5</v>
      </c>
      <c r="B504" t="s">
        <v>24</v>
      </c>
      <c r="C504" s="1">
        <v>45229.544444444444</v>
      </c>
      <c r="D504" t="s">
        <v>17</v>
      </c>
      <c r="E504" s="1">
        <v>45229.554166666669</v>
      </c>
      <c r="F504" t="str">
        <f>VLOOKUP(C504,Продукт!$C$2:$D$568,2,0)</f>
        <v>SaluteSpeech</v>
      </c>
      <c r="G504" s="2">
        <f t="shared" si="7"/>
        <v>14.00000000372529</v>
      </c>
    </row>
    <row r="505" spans="1:7">
      <c r="A505" t="s">
        <v>10</v>
      </c>
      <c r="B505" t="s">
        <v>25</v>
      </c>
      <c r="C505" s="1">
        <v>45229.566666666666</v>
      </c>
      <c r="D505" t="s">
        <v>17</v>
      </c>
      <c r="E505" s="1">
        <v>45229.570138888892</v>
      </c>
      <c r="F505" t="str">
        <f>VLOOKUP(C505,Продукт!$C$2:$D$568,2,0)</f>
        <v>Jazz</v>
      </c>
      <c r="G505" s="2">
        <f t="shared" si="7"/>
        <v>5.0000000058207661</v>
      </c>
    </row>
    <row r="506" spans="1:7">
      <c r="A506" t="s">
        <v>5</v>
      </c>
      <c r="B506" t="s">
        <v>25</v>
      </c>
      <c r="C506" s="1">
        <v>45229.574305555558</v>
      </c>
      <c r="D506" t="s">
        <v>17</v>
      </c>
      <c r="E506" s="1">
        <v>45229.577777777777</v>
      </c>
      <c r="F506" t="str">
        <f>VLOOKUP(C506,Продукт!$C$2:$D$568,2,0)</f>
        <v>Jazz</v>
      </c>
      <c r="G506" s="2">
        <f t="shared" si="7"/>
        <v>4.9999999953433871</v>
      </c>
    </row>
    <row r="507" spans="1:7">
      <c r="A507" t="s">
        <v>5</v>
      </c>
      <c r="B507" t="s">
        <v>25</v>
      </c>
      <c r="C507" s="1">
        <v>45229.575694444444</v>
      </c>
      <c r="D507" t="s">
        <v>17</v>
      </c>
      <c r="E507" s="1">
        <v>45229.579861111109</v>
      </c>
      <c r="F507" t="str">
        <f>VLOOKUP(C507,Продукт!$C$2:$D$568,2,0)</f>
        <v>SaluteBot</v>
      </c>
      <c r="G507" s="2">
        <f t="shared" si="7"/>
        <v>5.9999999986030161</v>
      </c>
    </row>
    <row r="508" spans="1:7">
      <c r="A508" t="s">
        <v>9</v>
      </c>
      <c r="B508" t="s">
        <v>24</v>
      </c>
      <c r="C508" s="1">
        <v>45229.629166666666</v>
      </c>
      <c r="D508" t="s">
        <v>17</v>
      </c>
      <c r="E508" s="1">
        <v>45229.640277777777</v>
      </c>
      <c r="F508" t="str">
        <f>VLOOKUP(C508,Продукт!$C$2:$D$568,2,0)</f>
        <v>Jazz</v>
      </c>
      <c r="G508" s="2">
        <f t="shared" si="7"/>
        <v>15.999999999767169</v>
      </c>
    </row>
    <row r="509" spans="1:7">
      <c r="A509" t="s">
        <v>10</v>
      </c>
      <c r="B509" t="s">
        <v>25</v>
      </c>
      <c r="C509" s="1">
        <v>45229.632638888892</v>
      </c>
      <c r="D509" t="s">
        <v>17</v>
      </c>
      <c r="E509" s="1">
        <v>45229.63958333333</v>
      </c>
      <c r="F509" t="str">
        <f>VLOOKUP(C509,Продукт!$C$2:$D$568,2,0)</f>
        <v>SaluteBot</v>
      </c>
      <c r="G509" s="2">
        <f t="shared" si="7"/>
        <v>9.9999999906867743</v>
      </c>
    </row>
    <row r="510" spans="1:7">
      <c r="A510" t="s">
        <v>5</v>
      </c>
      <c r="B510" t="s">
        <v>25</v>
      </c>
      <c r="C510" s="1">
        <v>45229.634027777778</v>
      </c>
      <c r="D510" t="s">
        <v>17</v>
      </c>
      <c r="E510" s="1">
        <v>45229.643055555556</v>
      </c>
      <c r="F510" t="str">
        <f>VLOOKUP(C510,Продукт!$C$2:$D$568,2,0)</f>
        <v>SaluteSpeech</v>
      </c>
      <c r="G510" s="2">
        <f t="shared" si="7"/>
        <v>13.000000000465661</v>
      </c>
    </row>
    <row r="511" spans="1:7">
      <c r="A511" t="s">
        <v>3</v>
      </c>
      <c r="B511" t="s">
        <v>24</v>
      </c>
      <c r="C511" s="1">
        <v>45229.662499999999</v>
      </c>
      <c r="D511" t="s">
        <v>17</v>
      </c>
      <c r="E511" s="1">
        <v>45229.665972222225</v>
      </c>
      <c r="F511" t="str">
        <f>VLOOKUP(C511,Продукт!$C$2:$D$568,2,0)</f>
        <v>SaluteBot</v>
      </c>
      <c r="G511" s="2">
        <f t="shared" si="7"/>
        <v>5.0000000058207661</v>
      </c>
    </row>
    <row r="512" spans="1:7">
      <c r="A512" t="s">
        <v>9</v>
      </c>
      <c r="B512" t="s">
        <v>25</v>
      </c>
      <c r="C512" s="1">
        <v>45229.682638888888</v>
      </c>
      <c r="D512" t="s">
        <v>17</v>
      </c>
      <c r="E512" s="1">
        <v>45229.68472222222</v>
      </c>
      <c r="F512" t="str">
        <f>VLOOKUP(C512,Продукт!$C$2:$D$568,2,0)</f>
        <v>Jazz</v>
      </c>
      <c r="G512" s="2">
        <f t="shared" si="7"/>
        <v>2.9999999993015081</v>
      </c>
    </row>
    <row r="513" spans="1:7">
      <c r="A513" t="s">
        <v>10</v>
      </c>
      <c r="B513" t="s">
        <v>24</v>
      </c>
      <c r="C513" s="1">
        <v>45229.694444444445</v>
      </c>
      <c r="D513" t="s">
        <v>17</v>
      </c>
      <c r="E513" s="1">
        <v>45229.695833333331</v>
      </c>
      <c r="F513" t="str">
        <f>VLOOKUP(C513,Продукт!$C$2:$D$568,2,0)</f>
        <v>SaluteBot</v>
      </c>
      <c r="G513" s="2">
        <f t="shared" si="7"/>
        <v>1.9999999960418791</v>
      </c>
    </row>
    <row r="514" spans="1:7">
      <c r="A514" t="s">
        <v>6</v>
      </c>
      <c r="B514" t="s">
        <v>25</v>
      </c>
      <c r="C514" s="1">
        <v>45229.699305555558</v>
      </c>
      <c r="D514" t="s">
        <v>17</v>
      </c>
      <c r="E514" s="1">
        <v>45229.713888888888</v>
      </c>
      <c r="F514" t="str">
        <f>VLOOKUP(C514,Продукт!$C$2:$D$568,2,0)</f>
        <v>Jazz</v>
      </c>
      <c r="G514" s="2">
        <f t="shared" si="7"/>
        <v>20.999999995110556</v>
      </c>
    </row>
    <row r="515" spans="1:7">
      <c r="A515" t="s">
        <v>9</v>
      </c>
      <c r="B515" t="s">
        <v>25</v>
      </c>
      <c r="C515" s="1">
        <v>45230.598611111112</v>
      </c>
      <c r="D515" t="s">
        <v>17</v>
      </c>
      <c r="E515" s="1">
        <v>45230.604166666664</v>
      </c>
      <c r="F515" t="str">
        <f>VLOOKUP(C515,Продукт!$C$2:$D$568,2,0)</f>
        <v>SaluteBot</v>
      </c>
      <c r="G515" s="2">
        <f t="shared" ref="G515:G568" si="8">(E515-C515)*60*24</f>
        <v>7.9999999946448952</v>
      </c>
    </row>
    <row r="516" spans="1:7">
      <c r="A516" t="s">
        <v>4</v>
      </c>
      <c r="B516" t="s">
        <v>24</v>
      </c>
      <c r="C516" s="1">
        <v>45230.613194444442</v>
      </c>
      <c r="D516" t="s">
        <v>17</v>
      </c>
      <c r="E516" s="1">
        <v>45230.615277777775</v>
      </c>
      <c r="F516" t="str">
        <f>VLOOKUP(C516,Продукт!$C$2:$D$568,2,0)</f>
        <v>SaluteBot</v>
      </c>
      <c r="G516" s="2">
        <f t="shared" si="8"/>
        <v>2.9999999993015081</v>
      </c>
    </row>
    <row r="517" spans="1:7">
      <c r="A517" t="s">
        <v>6</v>
      </c>
      <c r="B517" t="s">
        <v>24</v>
      </c>
      <c r="C517" s="1">
        <v>45230.620833333334</v>
      </c>
      <c r="D517" t="s">
        <v>17</v>
      </c>
      <c r="E517" s="1">
        <v>45230.638194444444</v>
      </c>
      <c r="F517" t="str">
        <f>VLOOKUP(C517,Продукт!$C$2:$D$568,2,0)</f>
        <v>SaluteSpeech</v>
      </c>
      <c r="G517" s="2">
        <f t="shared" si="8"/>
        <v>24.999999997671694</v>
      </c>
    </row>
    <row r="518" spans="1:7">
      <c r="A518" t="s">
        <v>3</v>
      </c>
      <c r="B518" t="s">
        <v>24</v>
      </c>
      <c r="C518" s="1">
        <v>45230.706250000003</v>
      </c>
      <c r="D518" t="s">
        <v>17</v>
      </c>
      <c r="E518" s="1">
        <v>45230.709027777775</v>
      </c>
      <c r="F518" t="str">
        <f>VLOOKUP(C518,Продукт!$C$2:$D$568,2,0)</f>
        <v>SaluteBot</v>
      </c>
      <c r="G518" s="2">
        <f t="shared" si="8"/>
        <v>3.9999999920837581</v>
      </c>
    </row>
    <row r="519" spans="1:7">
      <c r="A519" t="s">
        <v>7</v>
      </c>
      <c r="B519" t="s">
        <v>25</v>
      </c>
      <c r="C519" s="1">
        <v>45230.724305555559</v>
      </c>
      <c r="D519" t="s">
        <v>17</v>
      </c>
      <c r="E519" s="1">
        <v>45230.727777777778</v>
      </c>
      <c r="F519" t="str">
        <f>VLOOKUP(C519,Продукт!$C$2:$D$568,2,0)</f>
        <v>SaluteSpeech</v>
      </c>
      <c r="G519" s="2">
        <f t="shared" si="8"/>
        <v>4.9999999953433871</v>
      </c>
    </row>
    <row r="520" spans="1:7">
      <c r="A520" t="s">
        <v>7</v>
      </c>
      <c r="B520" t="s">
        <v>24</v>
      </c>
      <c r="C520" s="1">
        <v>45230.73541666667</v>
      </c>
      <c r="D520" t="s">
        <v>17</v>
      </c>
      <c r="E520" s="1">
        <v>45230.740972222222</v>
      </c>
      <c r="F520" t="str">
        <f>VLOOKUP(C520,Продукт!$C$2:$D$568,2,0)</f>
        <v>SaluteSpeech</v>
      </c>
      <c r="G520" s="2">
        <f t="shared" si="8"/>
        <v>7.9999999946448952</v>
      </c>
    </row>
    <row r="521" spans="1:7">
      <c r="A521" t="s">
        <v>10</v>
      </c>
      <c r="B521" t="s">
        <v>24</v>
      </c>
      <c r="C521" s="1">
        <v>45230.746527777781</v>
      </c>
      <c r="D521" t="s">
        <v>17</v>
      </c>
      <c r="E521" s="1">
        <v>45230.754166666666</v>
      </c>
      <c r="F521" t="str">
        <f>VLOOKUP(C521,Продукт!$C$2:$D$568,2,0)</f>
        <v>SaluteSpeech</v>
      </c>
      <c r="G521" s="2">
        <f t="shared" si="8"/>
        <v>10.999999993946403</v>
      </c>
    </row>
    <row r="522" spans="1:7">
      <c r="A522" t="s">
        <v>7</v>
      </c>
      <c r="B522" t="s">
        <v>25</v>
      </c>
      <c r="C522" s="1">
        <v>45230.806944444441</v>
      </c>
      <c r="D522" t="s">
        <v>17</v>
      </c>
      <c r="E522" s="1">
        <v>45230.814583333333</v>
      </c>
      <c r="F522" t="str">
        <f>VLOOKUP(C522,Продукт!$C$2:$D$568,2,0)</f>
        <v>Jazz</v>
      </c>
      <c r="G522" s="2">
        <f t="shared" si="8"/>
        <v>11.000000004423782</v>
      </c>
    </row>
    <row r="523" spans="1:7">
      <c r="A523" t="s">
        <v>9</v>
      </c>
      <c r="B523" t="s">
        <v>25</v>
      </c>
      <c r="C523" s="1">
        <v>45230.84652777778</v>
      </c>
      <c r="D523" t="s">
        <v>17</v>
      </c>
      <c r="E523" s="1">
        <v>45230.853472222225</v>
      </c>
      <c r="F523" t="str">
        <f>VLOOKUP(C523,Продукт!$C$2:$D$568,2,0)</f>
        <v>SaluteBot</v>
      </c>
      <c r="G523" s="2">
        <f t="shared" si="8"/>
        <v>10.000000001164153</v>
      </c>
    </row>
    <row r="524" spans="1:7">
      <c r="A524" t="s">
        <v>6</v>
      </c>
      <c r="B524" t="s">
        <v>25</v>
      </c>
      <c r="C524" s="1">
        <v>45230.864583333336</v>
      </c>
      <c r="D524" t="s">
        <v>17</v>
      </c>
      <c r="E524" s="1">
        <v>45230.87222222222</v>
      </c>
      <c r="F524" t="str">
        <f>VLOOKUP(C524,Продукт!$C$2:$D$568,2,0)</f>
        <v>Jazz</v>
      </c>
      <c r="G524" s="2">
        <f t="shared" si="8"/>
        <v>10.999999993946403</v>
      </c>
    </row>
    <row r="525" spans="1:7">
      <c r="A525" t="s">
        <v>8</v>
      </c>
      <c r="B525" t="s">
        <v>24</v>
      </c>
      <c r="C525" s="1">
        <v>45230.885416666664</v>
      </c>
      <c r="D525" t="s">
        <v>17</v>
      </c>
      <c r="E525" s="1">
        <v>45231.529166666667</v>
      </c>
      <c r="F525" t="str">
        <f>VLOOKUP(C525,Продукт!$C$2:$D$568,2,0)</f>
        <v>SaluteSpeech</v>
      </c>
      <c r="G525" s="2">
        <f t="shared" si="8"/>
        <v>927.00000000419095</v>
      </c>
    </row>
    <row r="526" spans="1:7">
      <c r="A526" t="s">
        <v>8</v>
      </c>
      <c r="B526" t="s">
        <v>24</v>
      </c>
      <c r="C526" s="1">
        <v>45230.890277777777</v>
      </c>
      <c r="D526" t="s">
        <v>17</v>
      </c>
      <c r="E526" s="1">
        <v>45231.527777777781</v>
      </c>
      <c r="F526" t="str">
        <f>VLOOKUP(C526,Продукт!$C$2:$D$568,2,0)</f>
        <v>SaluteBot</v>
      </c>
      <c r="G526" s="2">
        <f t="shared" si="8"/>
        <v>918.00000000628643</v>
      </c>
    </row>
    <row r="527" spans="1:7">
      <c r="A527" t="s">
        <v>5</v>
      </c>
      <c r="B527" t="s">
        <v>25</v>
      </c>
      <c r="C527" s="1">
        <v>45230.968055555553</v>
      </c>
      <c r="D527" t="s">
        <v>17</v>
      </c>
      <c r="E527" s="1">
        <v>45231.529166666667</v>
      </c>
      <c r="F527" t="str">
        <f>VLOOKUP(C527,Продукт!$C$2:$D$568,2,0)</f>
        <v>SaluteBot</v>
      </c>
      <c r="G527" s="2">
        <f t="shared" si="8"/>
        <v>808.00000000395812</v>
      </c>
    </row>
    <row r="528" spans="1:7">
      <c r="A528" t="s">
        <v>5</v>
      </c>
      <c r="B528" t="s">
        <v>25</v>
      </c>
      <c r="C528" s="1">
        <v>45230.972916666666</v>
      </c>
      <c r="D528" t="s">
        <v>17</v>
      </c>
      <c r="E528" s="1">
        <v>45231.529166666667</v>
      </c>
      <c r="F528" t="str">
        <f>VLOOKUP(C528,Продукт!$C$2:$D$568,2,0)</f>
        <v>SaluteSpeech</v>
      </c>
      <c r="G528" s="2">
        <f t="shared" si="8"/>
        <v>801.00000000209548</v>
      </c>
    </row>
    <row r="529" spans="1:7">
      <c r="A529" t="s">
        <v>4</v>
      </c>
      <c r="B529" t="s">
        <v>24</v>
      </c>
      <c r="C529" s="1">
        <v>45231.09652777778</v>
      </c>
      <c r="D529" t="s">
        <v>17</v>
      </c>
      <c r="E529" s="1">
        <v>45231.525694444441</v>
      </c>
      <c r="F529" t="str">
        <f>VLOOKUP(C529,Продукт!$C$2:$D$568,2,0)</f>
        <v>SaluteBot</v>
      </c>
      <c r="G529" s="2">
        <f t="shared" si="8"/>
        <v>617.99999999231659</v>
      </c>
    </row>
    <row r="530" spans="1:7">
      <c r="A530" t="s">
        <v>8</v>
      </c>
      <c r="B530" t="s">
        <v>24</v>
      </c>
      <c r="C530" s="1">
        <v>45231.191666666666</v>
      </c>
      <c r="D530" t="s">
        <v>17</v>
      </c>
      <c r="E530" s="1">
        <v>45231.500694444447</v>
      </c>
      <c r="F530" t="str">
        <f>VLOOKUP(C530,Продукт!$C$2:$D$568,2,0)</f>
        <v>SaluteBot</v>
      </c>
      <c r="G530" s="2">
        <f t="shared" si="8"/>
        <v>445.00000000465661</v>
      </c>
    </row>
    <row r="531" spans="1:7">
      <c r="A531" t="s">
        <v>4</v>
      </c>
      <c r="B531" t="s">
        <v>25</v>
      </c>
      <c r="C531" s="1">
        <v>45231.413194444445</v>
      </c>
      <c r="D531" t="s">
        <v>17</v>
      </c>
      <c r="E531" s="1">
        <v>45231.500694444447</v>
      </c>
      <c r="F531" t="str">
        <f>VLOOKUP(C531,Продукт!$C$2:$D$568,2,0)</f>
        <v>SaluteBot</v>
      </c>
      <c r="G531" s="2">
        <f t="shared" si="8"/>
        <v>126.00000000209548</v>
      </c>
    </row>
    <row r="532" spans="1:7">
      <c r="A532" t="s">
        <v>9</v>
      </c>
      <c r="B532" t="s">
        <v>24</v>
      </c>
      <c r="C532" s="1">
        <v>45231.571527777778</v>
      </c>
      <c r="D532" t="s">
        <v>17</v>
      </c>
      <c r="E532" s="1">
        <v>45231.578472222223</v>
      </c>
      <c r="F532" t="str">
        <f>VLOOKUP(C532,Продукт!$C$2:$D$568,2,0)</f>
        <v>Jazz</v>
      </c>
      <c r="G532" s="2">
        <f t="shared" si="8"/>
        <v>10.000000001164153</v>
      </c>
    </row>
    <row r="533" spans="1:7">
      <c r="A533" t="s">
        <v>6</v>
      </c>
      <c r="B533" t="s">
        <v>24</v>
      </c>
      <c r="C533" s="1">
        <v>45231.636111111111</v>
      </c>
      <c r="D533" t="s">
        <v>17</v>
      </c>
      <c r="E533" s="1">
        <v>45231.642361111109</v>
      </c>
      <c r="F533" t="str">
        <f>VLOOKUP(C533,Продукт!$C$2:$D$568,2,0)</f>
        <v>Jazz</v>
      </c>
      <c r="G533" s="2">
        <f t="shared" si="8"/>
        <v>8.9999999979045242</v>
      </c>
    </row>
    <row r="534" spans="1:7">
      <c r="A534" t="s">
        <v>4</v>
      </c>
      <c r="B534" t="s">
        <v>24</v>
      </c>
      <c r="C534" s="1">
        <v>45231.657638888886</v>
      </c>
      <c r="D534" t="s">
        <v>17</v>
      </c>
      <c r="E534" s="1">
        <v>45231.65902777778</v>
      </c>
      <c r="F534" t="str">
        <f>VLOOKUP(C534,Продукт!$C$2:$D$568,2,0)</f>
        <v>SaluteBot</v>
      </c>
      <c r="G534" s="2">
        <f t="shared" si="8"/>
        <v>2.000000006519258</v>
      </c>
    </row>
    <row r="535" spans="1:7">
      <c r="A535" t="s">
        <v>3</v>
      </c>
      <c r="B535" t="s">
        <v>24</v>
      </c>
      <c r="C535" s="1">
        <v>45231.659722222219</v>
      </c>
      <c r="D535" t="s">
        <v>17</v>
      </c>
      <c r="E535" s="1">
        <v>45231.661111111112</v>
      </c>
      <c r="F535" t="str">
        <f>VLOOKUP(C535,Продукт!$C$2:$D$568,2,0)</f>
        <v>SaluteBot</v>
      </c>
      <c r="G535" s="2">
        <f t="shared" si="8"/>
        <v>2.000000006519258</v>
      </c>
    </row>
    <row r="536" spans="1:7">
      <c r="A536" t="s">
        <v>8</v>
      </c>
      <c r="B536" t="s">
        <v>24</v>
      </c>
      <c r="C536" s="1">
        <v>45231.661111111112</v>
      </c>
      <c r="D536" t="s">
        <v>17</v>
      </c>
      <c r="E536" s="1">
        <v>45231.663888888892</v>
      </c>
      <c r="F536" t="str">
        <f>VLOOKUP(C536,Продукт!$C$2:$D$568,2,0)</f>
        <v>SaluteBot</v>
      </c>
      <c r="G536" s="2">
        <f t="shared" si="8"/>
        <v>4.0000000025611371</v>
      </c>
    </row>
    <row r="537" spans="1:7">
      <c r="A537" t="s">
        <v>4</v>
      </c>
      <c r="B537" t="s">
        <v>24</v>
      </c>
      <c r="C537" s="1">
        <v>45231.664583333331</v>
      </c>
      <c r="D537" t="s">
        <v>17</v>
      </c>
      <c r="E537" s="1">
        <v>45231.665972222225</v>
      </c>
      <c r="F537" t="str">
        <f>VLOOKUP(C537,Продукт!$C$2:$D$568,2,0)</f>
        <v>SaluteBot</v>
      </c>
      <c r="G537" s="2">
        <f t="shared" si="8"/>
        <v>2.000000006519258</v>
      </c>
    </row>
    <row r="538" spans="1:7">
      <c r="A538" t="s">
        <v>5</v>
      </c>
      <c r="B538" t="s">
        <v>25</v>
      </c>
      <c r="C538" s="1">
        <v>45231.686111111114</v>
      </c>
      <c r="D538" t="s">
        <v>17</v>
      </c>
      <c r="E538" s="1">
        <v>45231.69027777778</v>
      </c>
      <c r="F538" t="str">
        <f>VLOOKUP(C538,Продукт!$C$2:$D$568,2,0)</f>
        <v>SaluteBot</v>
      </c>
      <c r="G538" s="2">
        <f t="shared" si="8"/>
        <v>5.9999999986030161</v>
      </c>
    </row>
    <row r="539" spans="1:7">
      <c r="A539" t="s">
        <v>7</v>
      </c>
      <c r="B539" t="s">
        <v>24</v>
      </c>
      <c r="C539" s="1">
        <v>45231.699305555558</v>
      </c>
      <c r="D539" t="s">
        <v>17</v>
      </c>
      <c r="E539" s="1">
        <v>45231.706250000003</v>
      </c>
      <c r="F539" t="str">
        <f>VLOOKUP(C539,Продукт!$C$2:$D$568,2,0)</f>
        <v>Jazz</v>
      </c>
      <c r="G539" s="2">
        <f t="shared" si="8"/>
        <v>10.000000001164153</v>
      </c>
    </row>
    <row r="540" spans="1:7">
      <c r="A540" t="s">
        <v>7</v>
      </c>
      <c r="B540" t="s">
        <v>24</v>
      </c>
      <c r="C540" s="1">
        <v>45231.784722222219</v>
      </c>
      <c r="D540" t="s">
        <v>17</v>
      </c>
      <c r="E540" s="1">
        <v>45231.79791666667</v>
      </c>
      <c r="F540" t="str">
        <f>VLOOKUP(C540,Продукт!$C$2:$D$568,2,0)</f>
        <v>Jazz</v>
      </c>
      <c r="G540" s="2">
        <f t="shared" si="8"/>
        <v>19.000000009546056</v>
      </c>
    </row>
    <row r="541" spans="1:7">
      <c r="A541" t="s">
        <v>4</v>
      </c>
      <c r="B541" t="s">
        <v>24</v>
      </c>
      <c r="C541" s="1">
        <v>45231.802777777775</v>
      </c>
      <c r="D541" t="s">
        <v>17</v>
      </c>
      <c r="E541" s="1">
        <v>45231.821527777778</v>
      </c>
      <c r="F541" t="str">
        <f>VLOOKUP(C541,Продукт!$C$2:$D$568,2,0)</f>
        <v>SaluteBot</v>
      </c>
      <c r="G541" s="2">
        <f t="shared" si="8"/>
        <v>27.000000004190952</v>
      </c>
    </row>
    <row r="542" spans="1:7">
      <c r="A542" t="s">
        <v>7</v>
      </c>
      <c r="B542" t="s">
        <v>24</v>
      </c>
      <c r="C542" s="1">
        <v>45231.839583333334</v>
      </c>
      <c r="D542" t="s">
        <v>17</v>
      </c>
      <c r="E542" s="1">
        <v>45231.852083333331</v>
      </c>
      <c r="F542" t="str">
        <f>VLOOKUP(C542,Продукт!$C$2:$D$568,2,0)</f>
        <v>Jazz</v>
      </c>
      <c r="G542" s="2">
        <f t="shared" si="8"/>
        <v>17.999999995809048</v>
      </c>
    </row>
    <row r="543" spans="1:7">
      <c r="A543" t="s">
        <v>4</v>
      </c>
      <c r="B543" t="s">
        <v>24</v>
      </c>
      <c r="C543" s="1">
        <v>45231.866666666669</v>
      </c>
      <c r="D543" t="s">
        <v>17</v>
      </c>
      <c r="E543" s="1">
        <v>45231.868055555555</v>
      </c>
      <c r="F543" t="str">
        <f>VLOOKUP(C543,Продукт!$C$2:$D$568,2,0)</f>
        <v>SaluteBot</v>
      </c>
      <c r="G543" s="2">
        <f t="shared" si="8"/>
        <v>1.9999999960418791</v>
      </c>
    </row>
    <row r="544" spans="1:7">
      <c r="A544" t="s">
        <v>7</v>
      </c>
      <c r="B544" t="s">
        <v>25</v>
      </c>
      <c r="C544" s="1">
        <v>45231.944444444445</v>
      </c>
      <c r="D544" t="s">
        <v>17</v>
      </c>
      <c r="E544" s="1">
        <v>45232.518055555556</v>
      </c>
      <c r="F544" t="str">
        <f>VLOOKUP(C544,Продукт!$C$2:$D$568,2,0)</f>
        <v>SaluteSpeech</v>
      </c>
      <c r="G544" s="2">
        <f t="shared" si="8"/>
        <v>825.99999999976717</v>
      </c>
    </row>
    <row r="545" spans="1:7">
      <c r="A545" t="s">
        <v>5</v>
      </c>
      <c r="B545" t="s">
        <v>25</v>
      </c>
      <c r="C545" s="1">
        <v>45232.505555555559</v>
      </c>
      <c r="D545" t="s">
        <v>17</v>
      </c>
      <c r="E545" s="1">
        <v>45232.51458333333</v>
      </c>
      <c r="F545" t="str">
        <f>VLOOKUP(C545,Продукт!$C$2:$D$568,2,0)</f>
        <v>Jazz</v>
      </c>
      <c r="G545" s="2">
        <f t="shared" si="8"/>
        <v>12.999999989988282</v>
      </c>
    </row>
    <row r="546" spans="1:7">
      <c r="A546" t="s">
        <v>4</v>
      </c>
      <c r="B546" t="s">
        <v>24</v>
      </c>
      <c r="C546" s="1">
        <v>45229.763888888891</v>
      </c>
      <c r="D546" t="s">
        <v>17</v>
      </c>
      <c r="E546" s="1">
        <v>45229.772916666669</v>
      </c>
      <c r="F546" t="str">
        <f>VLOOKUP(C546,Продукт!$C$2:$D$568,2,0)</f>
        <v>Jazz</v>
      </c>
      <c r="G546" s="2">
        <f t="shared" si="8"/>
        <v>13.000000000465661</v>
      </c>
    </row>
    <row r="547" spans="1:7">
      <c r="A547" t="s">
        <v>3</v>
      </c>
      <c r="B547" t="s">
        <v>24</v>
      </c>
      <c r="C547" s="1">
        <v>45229.775694444441</v>
      </c>
      <c r="D547" t="s">
        <v>17</v>
      </c>
      <c r="E547" s="1">
        <v>45229.786805555559</v>
      </c>
      <c r="F547" t="str">
        <f>VLOOKUP(C547,Продукт!$C$2:$D$568,2,0)</f>
        <v>SaluteBot</v>
      </c>
      <c r="G547" s="2">
        <f t="shared" si="8"/>
        <v>16.000000010244548</v>
      </c>
    </row>
    <row r="548" spans="1:7">
      <c r="A548" t="s">
        <v>10</v>
      </c>
      <c r="B548" t="s">
        <v>25</v>
      </c>
      <c r="C548" s="1">
        <v>45229.785416666666</v>
      </c>
      <c r="D548" t="s">
        <v>17</v>
      </c>
      <c r="E548" s="1">
        <v>45229.791666666664</v>
      </c>
      <c r="F548" t="str">
        <f>VLOOKUP(C548,Продукт!$C$2:$D$568,2,0)</f>
        <v>Jazz</v>
      </c>
      <c r="G548" s="2">
        <f t="shared" si="8"/>
        <v>8.9999999979045242</v>
      </c>
    </row>
    <row r="549" spans="1:7">
      <c r="A549" t="s">
        <v>8</v>
      </c>
      <c r="B549" t="s">
        <v>25</v>
      </c>
      <c r="C549" s="1">
        <v>45229.820833333331</v>
      </c>
      <c r="D549" t="s">
        <v>17</v>
      </c>
      <c r="E549" s="1">
        <v>45229.832638888889</v>
      </c>
      <c r="F549" t="str">
        <f>VLOOKUP(C549,Продукт!$C$2:$D$568,2,0)</f>
        <v>SaluteBot</v>
      </c>
      <c r="G549" s="2">
        <f t="shared" si="8"/>
        <v>17.000000003026798</v>
      </c>
    </row>
    <row r="550" spans="1:7">
      <c r="A550" t="s">
        <v>7</v>
      </c>
      <c r="B550" t="s">
        <v>25</v>
      </c>
      <c r="C550" s="1">
        <v>45229.855555555558</v>
      </c>
      <c r="D550" t="s">
        <v>17</v>
      </c>
      <c r="E550" s="1">
        <v>45229.868055555555</v>
      </c>
      <c r="F550" t="str">
        <f>VLOOKUP(C550,Продукт!$C$2:$D$568,2,0)</f>
        <v>SaluteBot</v>
      </c>
      <c r="G550" s="2">
        <f t="shared" si="8"/>
        <v>17.999999995809048</v>
      </c>
    </row>
    <row r="551" spans="1:7">
      <c r="A551" t="s">
        <v>5</v>
      </c>
      <c r="B551" t="s">
        <v>24</v>
      </c>
      <c r="C551" s="1">
        <v>45229.886805555558</v>
      </c>
      <c r="D551" t="s">
        <v>17</v>
      </c>
      <c r="E551" s="1">
        <v>45230.511111111111</v>
      </c>
      <c r="F551" t="str">
        <f>VLOOKUP(C551,Продукт!$C$2:$D$568,2,0)</f>
        <v>Jazz</v>
      </c>
      <c r="G551" s="2">
        <f t="shared" si="8"/>
        <v>898.99999999674037</v>
      </c>
    </row>
    <row r="552" spans="1:7">
      <c r="A552" t="s">
        <v>8</v>
      </c>
      <c r="B552" t="s">
        <v>24</v>
      </c>
      <c r="C552" s="1">
        <v>45229.990972222222</v>
      </c>
      <c r="D552" t="s">
        <v>17</v>
      </c>
      <c r="E552" s="1">
        <v>45230.513194444444</v>
      </c>
      <c r="F552" t="str">
        <f>VLOOKUP(C552,Продукт!$C$2:$D$568,2,0)</f>
        <v>SaluteSpeech</v>
      </c>
      <c r="G552" s="2">
        <f t="shared" si="8"/>
        <v>751.99999999953434</v>
      </c>
    </row>
    <row r="553" spans="1:7">
      <c r="A553" t="s">
        <v>3</v>
      </c>
      <c r="B553" t="s">
        <v>24</v>
      </c>
      <c r="C553" s="1">
        <v>45230.317361111112</v>
      </c>
      <c r="D553" t="s">
        <v>17</v>
      </c>
      <c r="E553" s="1">
        <v>45230.501388888886</v>
      </c>
      <c r="F553" t="str">
        <f>VLOOKUP(C553,Продукт!$C$2:$D$568,2,0)</f>
        <v>SaluteBot</v>
      </c>
      <c r="G553" s="2">
        <f t="shared" si="8"/>
        <v>264.99999999417923</v>
      </c>
    </row>
    <row r="554" spans="1:7">
      <c r="A554" t="s">
        <v>10</v>
      </c>
      <c r="B554" t="s">
        <v>24</v>
      </c>
      <c r="C554" s="1">
        <v>45230.440972222219</v>
      </c>
      <c r="D554" t="s">
        <v>17</v>
      </c>
      <c r="E554" s="1">
        <v>45230.500694444447</v>
      </c>
      <c r="F554" t="str">
        <f>VLOOKUP(C554,Продукт!$C$2:$D$568,2,0)</f>
        <v>SaluteBot</v>
      </c>
      <c r="G554" s="2">
        <f t="shared" si="8"/>
        <v>86.000000007916242</v>
      </c>
    </row>
    <row r="555" spans="1:7">
      <c r="A555" t="s">
        <v>6</v>
      </c>
      <c r="B555" t="s">
        <v>25</v>
      </c>
      <c r="C555" s="1">
        <v>45230.513888888891</v>
      </c>
      <c r="D555" t="s">
        <v>17</v>
      </c>
      <c r="E555" s="1">
        <v>45230.527777777781</v>
      </c>
      <c r="F555" t="str">
        <f>VLOOKUP(C555,Продукт!$C$2:$D$568,2,0)</f>
        <v>Jazz</v>
      </c>
      <c r="G555" s="2">
        <f t="shared" si="8"/>
        <v>20.000000002328306</v>
      </c>
    </row>
    <row r="556" spans="1:7">
      <c r="A556" t="s">
        <v>5</v>
      </c>
      <c r="B556" t="s">
        <v>25</v>
      </c>
      <c r="C556" s="1">
        <v>45230.526388888888</v>
      </c>
      <c r="D556" t="s">
        <v>17</v>
      </c>
      <c r="E556" s="1">
        <v>45230.529861111114</v>
      </c>
      <c r="F556" t="str">
        <f>VLOOKUP(C556,Продукт!$C$2:$D$568,2,0)</f>
        <v>Jazz</v>
      </c>
      <c r="G556" s="2">
        <f t="shared" si="8"/>
        <v>5.0000000058207661</v>
      </c>
    </row>
    <row r="557" spans="1:7">
      <c r="A557" t="s">
        <v>4</v>
      </c>
      <c r="B557" t="s">
        <v>25</v>
      </c>
      <c r="C557" s="1">
        <v>45230.55972222222</v>
      </c>
      <c r="D557" t="s">
        <v>17</v>
      </c>
      <c r="E557" s="1">
        <v>45230.567361111112</v>
      </c>
      <c r="F557" t="str">
        <f>VLOOKUP(C557,Продукт!$C$2:$D$568,2,0)</f>
        <v>Jazz</v>
      </c>
      <c r="G557" s="2">
        <f t="shared" si="8"/>
        <v>11.000000004423782</v>
      </c>
    </row>
    <row r="558" spans="1:7">
      <c r="A558" t="s">
        <v>4</v>
      </c>
      <c r="B558" t="s">
        <v>24</v>
      </c>
      <c r="C558" s="1">
        <v>45230.560416666667</v>
      </c>
      <c r="D558" t="s">
        <v>17</v>
      </c>
      <c r="E558" s="1">
        <v>45230.569444444445</v>
      </c>
      <c r="F558" t="str">
        <f>VLOOKUP(C558,Продукт!$C$2:$D$568,2,0)</f>
        <v>Jazz</v>
      </c>
      <c r="G558" s="2">
        <f t="shared" si="8"/>
        <v>13.000000000465661</v>
      </c>
    </row>
    <row r="559" spans="1:7">
      <c r="A559" t="s">
        <v>10</v>
      </c>
      <c r="B559" t="s">
        <v>25</v>
      </c>
      <c r="C559" s="1">
        <v>45230.564583333333</v>
      </c>
      <c r="D559" t="s">
        <v>17</v>
      </c>
      <c r="E559" s="1">
        <v>45230.572916666664</v>
      </c>
      <c r="F559" t="str">
        <f>VLOOKUP(C559,Продукт!$C$2:$D$568,2,0)</f>
        <v>Jazz</v>
      </c>
      <c r="G559" s="2">
        <f t="shared" si="8"/>
        <v>11.999999997206032</v>
      </c>
    </row>
    <row r="560" spans="1:7">
      <c r="A560" t="s">
        <v>9</v>
      </c>
      <c r="B560" t="s">
        <v>24</v>
      </c>
      <c r="C560" s="1">
        <v>45230.570138888892</v>
      </c>
      <c r="D560" t="s">
        <v>17</v>
      </c>
      <c r="E560" s="1">
        <v>45230.57708333333</v>
      </c>
      <c r="F560" t="str">
        <f>VLOOKUP(C560,Продукт!$C$2:$D$568,2,0)</f>
        <v>Jazz</v>
      </c>
      <c r="G560" s="2">
        <f t="shared" si="8"/>
        <v>9.9999999906867743</v>
      </c>
    </row>
    <row r="561" spans="1:7">
      <c r="A561" t="s">
        <v>4</v>
      </c>
      <c r="B561" t="s">
        <v>24</v>
      </c>
      <c r="C561" s="1">
        <v>45232.522222222222</v>
      </c>
      <c r="D561" t="s">
        <v>17</v>
      </c>
      <c r="E561" s="1">
        <v>45232.525694444441</v>
      </c>
      <c r="F561" t="str">
        <f>VLOOKUP(C561,Продукт!$C$2:$D$568,2,0)</f>
        <v>SaluteBot</v>
      </c>
      <c r="G561" s="2">
        <f t="shared" si="8"/>
        <v>4.9999999953433871</v>
      </c>
    </row>
    <row r="562" spans="1:7">
      <c r="A562" t="s">
        <v>5</v>
      </c>
      <c r="B562" t="s">
        <v>25</v>
      </c>
      <c r="C562" s="1">
        <v>45232.536111111112</v>
      </c>
      <c r="D562" t="s">
        <v>17</v>
      </c>
      <c r="E562" s="1">
        <v>45232.538194444445</v>
      </c>
      <c r="F562" t="str">
        <f>VLOOKUP(C562,Продукт!$C$2:$D$568,2,0)</f>
        <v>Jazz</v>
      </c>
      <c r="G562" s="2">
        <f t="shared" si="8"/>
        <v>2.9999999993015081</v>
      </c>
    </row>
    <row r="563" spans="1:7">
      <c r="A563" t="s">
        <v>5</v>
      </c>
      <c r="B563" t="s">
        <v>25</v>
      </c>
      <c r="C563" s="1">
        <v>45232.55972222222</v>
      </c>
      <c r="D563" t="s">
        <v>17</v>
      </c>
      <c r="E563" s="1">
        <v>45232.5625</v>
      </c>
      <c r="F563" t="str">
        <f>VLOOKUP(C563,Продукт!$C$2:$D$568,2,0)</f>
        <v>SaluteBot</v>
      </c>
      <c r="G563" s="2">
        <f t="shared" si="8"/>
        <v>4.0000000025611371</v>
      </c>
    </row>
    <row r="564" spans="1:7">
      <c r="A564" t="s">
        <v>4</v>
      </c>
      <c r="B564" t="s">
        <v>24</v>
      </c>
      <c r="C564" s="1">
        <v>45232.574305555558</v>
      </c>
      <c r="D564" t="s">
        <v>17</v>
      </c>
      <c r="E564" s="1">
        <v>45232.590277777781</v>
      </c>
      <c r="F564" t="str">
        <f>VLOOKUP(C564,Продукт!$C$2:$D$568,2,0)</f>
        <v>SaluteBot</v>
      </c>
      <c r="G564" s="2">
        <f t="shared" si="8"/>
        <v>23.000000001629815</v>
      </c>
    </row>
    <row r="565" spans="1:7">
      <c r="A565" t="s">
        <v>3</v>
      </c>
      <c r="B565" t="s">
        <v>24</v>
      </c>
      <c r="C565" s="1">
        <v>45232.582638888889</v>
      </c>
      <c r="D565" t="s">
        <v>17</v>
      </c>
      <c r="E565" s="1">
        <v>45232.59097222222</v>
      </c>
      <c r="F565" t="str">
        <f>VLOOKUP(C565,Продукт!$C$2:$D$568,2,0)</f>
        <v>SaluteBot</v>
      </c>
      <c r="G565" s="2">
        <f t="shared" si="8"/>
        <v>11.999999997206032</v>
      </c>
    </row>
    <row r="566" spans="1:7">
      <c r="A566" t="s">
        <v>2</v>
      </c>
      <c r="B566" t="s">
        <v>24</v>
      </c>
      <c r="C566" s="1">
        <v>45232.601388888892</v>
      </c>
      <c r="D566" t="s">
        <v>17</v>
      </c>
      <c r="E566" s="1">
        <v>45232.604166666664</v>
      </c>
      <c r="F566" t="str">
        <f>VLOOKUP(C566,Продукт!$C$2:$D$568,2,0)</f>
        <v>SaluteSpeech</v>
      </c>
      <c r="G566" s="2">
        <f t="shared" si="8"/>
        <v>3.9999999920837581</v>
      </c>
    </row>
    <row r="567" spans="1:7">
      <c r="A567" t="s">
        <v>2</v>
      </c>
      <c r="B567" t="s">
        <v>24</v>
      </c>
      <c r="C567" s="1">
        <v>45232.602083333331</v>
      </c>
      <c r="D567" t="s">
        <v>17</v>
      </c>
      <c r="E567" s="1">
        <v>45232.613888888889</v>
      </c>
      <c r="F567" t="str">
        <f>VLOOKUP(C567,Продукт!$C$2:$D$568,2,0)</f>
        <v>SaluteBot</v>
      </c>
      <c r="G567" s="2">
        <f t="shared" si="8"/>
        <v>17.000000003026798</v>
      </c>
    </row>
    <row r="568" spans="1:7">
      <c r="A568" t="s">
        <v>1</v>
      </c>
      <c r="B568" t="s">
        <v>24</v>
      </c>
      <c r="C568" s="1">
        <v>45232.630555555559</v>
      </c>
      <c r="D568" t="s">
        <v>17</v>
      </c>
      <c r="E568" s="1">
        <v>45232.644444444442</v>
      </c>
      <c r="F568" t="str">
        <f>VLOOKUP(C568,Продукт!$C$2:$D$568,2,0)</f>
        <v>Jazz</v>
      </c>
      <c r="G568" s="2">
        <f t="shared" si="8"/>
        <v>19.999999991850927</v>
      </c>
    </row>
  </sheetData>
  <autoFilter ref="A1:E1"/>
  <conditionalFormatting sqref="C1:C1048576">
    <cfRule type="duplicateValues" dxfId="0" priority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D568"/>
  <sheetViews>
    <sheetView workbookViewId="0">
      <selection activeCell="C6" sqref="C6"/>
    </sheetView>
  </sheetViews>
  <sheetFormatPr defaultRowHeight="15.5"/>
  <cols>
    <col min="1" max="1" width="29.25" bestFit="1" customWidth="1"/>
    <col min="2" max="2" width="16.25" bestFit="1" customWidth="1"/>
    <col min="3" max="3" width="17.83203125" style="1" bestFit="1" customWidth="1"/>
    <col min="4" max="4" width="26.83203125" bestFit="1" customWidth="1"/>
  </cols>
  <sheetData>
    <row r="1" spans="1:4">
      <c r="A1" t="s">
        <v>0</v>
      </c>
      <c r="B1" t="s">
        <v>13</v>
      </c>
      <c r="C1" s="1" t="s">
        <v>15</v>
      </c>
      <c r="D1" t="s">
        <v>19</v>
      </c>
    </row>
    <row r="2" spans="1:4">
      <c r="A2" t="s">
        <v>1</v>
      </c>
      <c r="B2" t="s">
        <v>24</v>
      </c>
      <c r="C2" s="1">
        <v>45232.630555555559</v>
      </c>
      <c r="D2" t="s">
        <v>21</v>
      </c>
    </row>
    <row r="3" spans="1:4">
      <c r="A3" t="s">
        <v>2</v>
      </c>
      <c r="B3" t="s">
        <v>24</v>
      </c>
      <c r="C3" s="1">
        <v>45232.602083333331</v>
      </c>
      <c r="D3" t="s">
        <v>20</v>
      </c>
    </row>
    <row r="4" spans="1:4">
      <c r="A4" t="s">
        <v>2</v>
      </c>
      <c r="B4" t="s">
        <v>24</v>
      </c>
      <c r="C4" s="1">
        <v>45232.601388888892</v>
      </c>
      <c r="D4" t="s">
        <v>22</v>
      </c>
    </row>
    <row r="5" spans="1:4">
      <c r="A5" t="s">
        <v>3</v>
      </c>
      <c r="B5" t="s">
        <v>24</v>
      </c>
      <c r="C5" s="1">
        <v>45232.582638888889</v>
      </c>
      <c r="D5" t="s">
        <v>20</v>
      </c>
    </row>
    <row r="6" spans="1:4">
      <c r="A6" t="s">
        <v>4</v>
      </c>
      <c r="B6" t="s">
        <v>24</v>
      </c>
      <c r="C6" s="1">
        <v>45232.574305555558</v>
      </c>
      <c r="D6" t="s">
        <v>20</v>
      </c>
    </row>
    <row r="7" spans="1:4">
      <c r="A7" t="s">
        <v>5</v>
      </c>
      <c r="B7" t="s">
        <v>25</v>
      </c>
      <c r="C7" s="1">
        <v>45232.55972222222</v>
      </c>
      <c r="D7" t="s">
        <v>20</v>
      </c>
    </row>
    <row r="8" spans="1:4">
      <c r="A8" t="s">
        <v>5</v>
      </c>
      <c r="B8" t="s">
        <v>25</v>
      </c>
      <c r="C8" s="1">
        <v>45232.536111111112</v>
      </c>
      <c r="D8" t="s">
        <v>21</v>
      </c>
    </row>
    <row r="9" spans="1:4">
      <c r="A9" t="s">
        <v>4</v>
      </c>
      <c r="B9" t="s">
        <v>24</v>
      </c>
      <c r="C9" s="1">
        <v>45232.522222222222</v>
      </c>
      <c r="D9" t="s">
        <v>20</v>
      </c>
    </row>
    <row r="10" spans="1:4">
      <c r="A10" t="s">
        <v>5</v>
      </c>
      <c r="B10" t="s">
        <v>25</v>
      </c>
      <c r="C10" s="1">
        <v>45232.505555555559</v>
      </c>
      <c r="D10" t="s">
        <v>21</v>
      </c>
    </row>
    <row r="11" spans="1:4">
      <c r="A11" t="s">
        <v>7</v>
      </c>
      <c r="B11" t="s">
        <v>25</v>
      </c>
      <c r="C11" s="1">
        <v>45231.944444444445</v>
      </c>
      <c r="D11" t="s">
        <v>22</v>
      </c>
    </row>
    <row r="12" spans="1:4">
      <c r="A12" t="s">
        <v>4</v>
      </c>
      <c r="B12" t="s">
        <v>24</v>
      </c>
      <c r="C12" s="1">
        <v>45231.866666666669</v>
      </c>
      <c r="D12" t="s">
        <v>20</v>
      </c>
    </row>
    <row r="13" spans="1:4">
      <c r="A13" t="s">
        <v>7</v>
      </c>
      <c r="B13" t="s">
        <v>24</v>
      </c>
      <c r="C13" s="1">
        <v>45231.839583333334</v>
      </c>
      <c r="D13" t="s">
        <v>21</v>
      </c>
    </row>
    <row r="14" spans="1:4">
      <c r="A14" t="s">
        <v>4</v>
      </c>
      <c r="B14" t="s">
        <v>24</v>
      </c>
      <c r="C14" s="1">
        <v>45231.802777777775</v>
      </c>
      <c r="D14" t="s">
        <v>20</v>
      </c>
    </row>
    <row r="15" spans="1:4">
      <c r="A15" t="s">
        <v>7</v>
      </c>
      <c r="B15" t="s">
        <v>24</v>
      </c>
      <c r="C15" s="1">
        <v>45231.784722222219</v>
      </c>
      <c r="D15" t="s">
        <v>21</v>
      </c>
    </row>
    <row r="16" spans="1:4">
      <c r="A16" t="s">
        <v>7</v>
      </c>
      <c r="B16" t="s">
        <v>24</v>
      </c>
      <c r="C16" s="1">
        <v>45231.699305555558</v>
      </c>
      <c r="D16" t="s">
        <v>21</v>
      </c>
    </row>
    <row r="17" spans="1:4">
      <c r="A17" t="s">
        <v>5</v>
      </c>
      <c r="B17" t="s">
        <v>25</v>
      </c>
      <c r="C17" s="1">
        <v>45231.686111111114</v>
      </c>
      <c r="D17" t="s">
        <v>20</v>
      </c>
    </row>
    <row r="18" spans="1:4">
      <c r="A18" t="s">
        <v>4</v>
      </c>
      <c r="B18" t="s">
        <v>24</v>
      </c>
      <c r="C18" s="1">
        <v>45231.664583333331</v>
      </c>
      <c r="D18" t="s">
        <v>20</v>
      </c>
    </row>
    <row r="19" spans="1:4">
      <c r="A19" t="s">
        <v>8</v>
      </c>
      <c r="B19" t="s">
        <v>24</v>
      </c>
      <c r="C19" s="1">
        <v>45231.661111111112</v>
      </c>
      <c r="D19" t="s">
        <v>20</v>
      </c>
    </row>
    <row r="20" spans="1:4">
      <c r="A20" t="s">
        <v>3</v>
      </c>
      <c r="B20" t="s">
        <v>24</v>
      </c>
      <c r="C20" s="1">
        <v>45231.659722222219</v>
      </c>
      <c r="D20" t="s">
        <v>20</v>
      </c>
    </row>
    <row r="21" spans="1:4">
      <c r="A21" t="s">
        <v>4</v>
      </c>
      <c r="B21" t="s">
        <v>24</v>
      </c>
      <c r="C21" s="1">
        <v>45231.657638888886</v>
      </c>
      <c r="D21" t="s">
        <v>20</v>
      </c>
    </row>
    <row r="22" spans="1:4">
      <c r="A22" t="s">
        <v>6</v>
      </c>
      <c r="B22" t="s">
        <v>24</v>
      </c>
      <c r="C22" s="1">
        <v>45231.636111111111</v>
      </c>
      <c r="D22" t="s">
        <v>21</v>
      </c>
    </row>
    <row r="23" spans="1:4">
      <c r="A23" t="s">
        <v>9</v>
      </c>
      <c r="B23" t="s">
        <v>24</v>
      </c>
      <c r="C23" s="1">
        <v>45231.571527777778</v>
      </c>
      <c r="D23" t="s">
        <v>21</v>
      </c>
    </row>
    <row r="24" spans="1:4">
      <c r="A24" t="s">
        <v>4</v>
      </c>
      <c r="B24" t="s">
        <v>25</v>
      </c>
      <c r="C24" s="1">
        <v>45231.413194444445</v>
      </c>
      <c r="D24" t="s">
        <v>20</v>
      </c>
    </row>
    <row r="25" spans="1:4">
      <c r="A25" t="s">
        <v>8</v>
      </c>
      <c r="B25" t="s">
        <v>24</v>
      </c>
      <c r="C25" s="1">
        <v>45231.191666666666</v>
      </c>
      <c r="D25" t="s">
        <v>20</v>
      </c>
    </row>
    <row r="26" spans="1:4">
      <c r="A26" t="s">
        <v>4</v>
      </c>
      <c r="B26" t="s">
        <v>24</v>
      </c>
      <c r="C26" s="1">
        <v>45231.09652777778</v>
      </c>
      <c r="D26" t="s">
        <v>20</v>
      </c>
    </row>
    <row r="27" spans="1:4">
      <c r="A27" t="s">
        <v>5</v>
      </c>
      <c r="B27" t="s">
        <v>25</v>
      </c>
      <c r="C27" s="1">
        <v>45230.972916666666</v>
      </c>
      <c r="D27" t="s">
        <v>22</v>
      </c>
    </row>
    <row r="28" spans="1:4">
      <c r="A28" t="s">
        <v>5</v>
      </c>
      <c r="B28" t="s">
        <v>25</v>
      </c>
      <c r="C28" s="1">
        <v>45230.968055555553</v>
      </c>
      <c r="D28" t="s">
        <v>20</v>
      </c>
    </row>
    <row r="29" spans="1:4">
      <c r="A29" t="s">
        <v>8</v>
      </c>
      <c r="B29" t="s">
        <v>24</v>
      </c>
      <c r="C29" s="1">
        <v>45230.890277777777</v>
      </c>
      <c r="D29" t="s">
        <v>20</v>
      </c>
    </row>
    <row r="30" spans="1:4">
      <c r="A30" t="s">
        <v>8</v>
      </c>
      <c r="B30" t="s">
        <v>24</v>
      </c>
      <c r="C30" s="1">
        <v>45230.885416666664</v>
      </c>
      <c r="D30" t="s">
        <v>22</v>
      </c>
    </row>
    <row r="31" spans="1:4">
      <c r="A31" t="s">
        <v>6</v>
      </c>
      <c r="B31" t="s">
        <v>25</v>
      </c>
      <c r="C31" s="1">
        <v>45230.864583333336</v>
      </c>
      <c r="D31" t="s">
        <v>21</v>
      </c>
    </row>
    <row r="32" spans="1:4">
      <c r="A32" t="s">
        <v>9</v>
      </c>
      <c r="B32" t="s">
        <v>25</v>
      </c>
      <c r="C32" s="1">
        <v>45230.84652777778</v>
      </c>
      <c r="D32" t="s">
        <v>20</v>
      </c>
    </row>
    <row r="33" spans="1:4">
      <c r="A33" t="s">
        <v>7</v>
      </c>
      <c r="B33" t="s">
        <v>25</v>
      </c>
      <c r="C33" s="1">
        <v>45230.806944444441</v>
      </c>
      <c r="D33" t="s">
        <v>21</v>
      </c>
    </row>
    <row r="34" spans="1:4">
      <c r="A34" t="s">
        <v>10</v>
      </c>
      <c r="B34" t="s">
        <v>24</v>
      </c>
      <c r="C34" s="1">
        <v>45230.746527777781</v>
      </c>
      <c r="D34" t="s">
        <v>22</v>
      </c>
    </row>
    <row r="35" spans="1:4">
      <c r="A35" t="s">
        <v>7</v>
      </c>
      <c r="B35" t="s">
        <v>24</v>
      </c>
      <c r="C35" s="1">
        <v>45230.73541666667</v>
      </c>
      <c r="D35" t="s">
        <v>22</v>
      </c>
    </row>
    <row r="36" spans="1:4">
      <c r="A36" t="s">
        <v>7</v>
      </c>
      <c r="B36" t="s">
        <v>25</v>
      </c>
      <c r="C36" s="1">
        <v>45230.724305555559</v>
      </c>
      <c r="D36" t="s">
        <v>22</v>
      </c>
    </row>
    <row r="37" spans="1:4">
      <c r="A37" t="s">
        <v>3</v>
      </c>
      <c r="B37" t="s">
        <v>24</v>
      </c>
      <c r="C37" s="1">
        <v>45230.706250000003</v>
      </c>
      <c r="D37" t="s">
        <v>20</v>
      </c>
    </row>
    <row r="38" spans="1:4">
      <c r="A38" t="s">
        <v>6</v>
      </c>
      <c r="B38" t="s">
        <v>24</v>
      </c>
      <c r="C38" s="1">
        <v>45230.620833333334</v>
      </c>
      <c r="D38" t="s">
        <v>22</v>
      </c>
    </row>
    <row r="39" spans="1:4">
      <c r="A39" t="s">
        <v>4</v>
      </c>
      <c r="B39" t="s">
        <v>24</v>
      </c>
      <c r="C39" s="1">
        <v>45230.613194444442</v>
      </c>
      <c r="D39" t="s">
        <v>20</v>
      </c>
    </row>
    <row r="40" spans="1:4">
      <c r="A40" t="s">
        <v>9</v>
      </c>
      <c r="B40" t="s">
        <v>25</v>
      </c>
      <c r="C40" s="1">
        <v>45230.598611111112</v>
      </c>
      <c r="D40" t="s">
        <v>20</v>
      </c>
    </row>
    <row r="41" spans="1:4">
      <c r="A41" t="s">
        <v>9</v>
      </c>
      <c r="B41" t="s">
        <v>24</v>
      </c>
      <c r="C41" s="1">
        <v>45230.570138888892</v>
      </c>
      <c r="D41" t="s">
        <v>21</v>
      </c>
    </row>
    <row r="42" spans="1:4">
      <c r="A42" t="s">
        <v>10</v>
      </c>
      <c r="B42" t="s">
        <v>25</v>
      </c>
      <c r="C42" s="1">
        <v>45230.564583333333</v>
      </c>
      <c r="D42" t="s">
        <v>21</v>
      </c>
    </row>
    <row r="43" spans="1:4">
      <c r="A43" t="s">
        <v>4</v>
      </c>
      <c r="B43" t="s">
        <v>24</v>
      </c>
      <c r="C43" s="1">
        <v>45230.560416666667</v>
      </c>
      <c r="D43" t="s">
        <v>21</v>
      </c>
    </row>
    <row r="44" spans="1:4">
      <c r="A44" t="s">
        <v>4</v>
      </c>
      <c r="B44" t="s">
        <v>25</v>
      </c>
      <c r="C44" s="1">
        <v>45230.55972222222</v>
      </c>
      <c r="D44" t="s">
        <v>21</v>
      </c>
    </row>
    <row r="45" spans="1:4">
      <c r="A45" t="s">
        <v>5</v>
      </c>
      <c r="B45" t="s">
        <v>25</v>
      </c>
      <c r="C45" s="1">
        <v>45230.526388888888</v>
      </c>
      <c r="D45" t="s">
        <v>21</v>
      </c>
    </row>
    <row r="46" spans="1:4">
      <c r="A46" t="s">
        <v>6</v>
      </c>
      <c r="B46" t="s">
        <v>25</v>
      </c>
      <c r="C46" s="1">
        <v>45230.513888888891</v>
      </c>
      <c r="D46" t="s">
        <v>21</v>
      </c>
    </row>
    <row r="47" spans="1:4">
      <c r="A47" t="s">
        <v>10</v>
      </c>
      <c r="B47" t="s">
        <v>24</v>
      </c>
      <c r="C47" s="1">
        <v>45230.440972222219</v>
      </c>
      <c r="D47" t="s">
        <v>20</v>
      </c>
    </row>
    <row r="48" spans="1:4">
      <c r="A48" t="s">
        <v>3</v>
      </c>
      <c r="B48" t="s">
        <v>24</v>
      </c>
      <c r="C48" s="1">
        <v>45230.317361111112</v>
      </c>
      <c r="D48" t="s">
        <v>20</v>
      </c>
    </row>
    <row r="49" spans="1:4">
      <c r="A49" t="s">
        <v>8</v>
      </c>
      <c r="B49" t="s">
        <v>24</v>
      </c>
      <c r="C49" s="1">
        <v>45229.990972222222</v>
      </c>
      <c r="D49" t="s">
        <v>22</v>
      </c>
    </row>
    <row r="50" spans="1:4">
      <c r="A50" t="s">
        <v>5</v>
      </c>
      <c r="B50" t="s">
        <v>24</v>
      </c>
      <c r="C50" s="1">
        <v>45229.886805555558</v>
      </c>
      <c r="D50" t="s">
        <v>21</v>
      </c>
    </row>
    <row r="51" spans="1:4">
      <c r="A51" t="s">
        <v>7</v>
      </c>
      <c r="B51" t="s">
        <v>25</v>
      </c>
      <c r="C51" s="1">
        <v>45229.855555555558</v>
      </c>
      <c r="D51" t="s">
        <v>20</v>
      </c>
    </row>
    <row r="52" spans="1:4">
      <c r="A52" t="s">
        <v>8</v>
      </c>
      <c r="B52" t="s">
        <v>25</v>
      </c>
      <c r="C52" s="1">
        <v>45229.820833333331</v>
      </c>
      <c r="D52" t="s">
        <v>20</v>
      </c>
    </row>
    <row r="53" spans="1:4">
      <c r="A53" t="s">
        <v>10</v>
      </c>
      <c r="B53" t="s">
        <v>25</v>
      </c>
      <c r="C53" s="1">
        <v>45229.785416666666</v>
      </c>
      <c r="D53" t="s">
        <v>21</v>
      </c>
    </row>
    <row r="54" spans="1:4">
      <c r="A54" t="s">
        <v>3</v>
      </c>
      <c r="B54" t="s">
        <v>24</v>
      </c>
      <c r="C54" s="1">
        <v>45229.775694444441</v>
      </c>
      <c r="D54" t="s">
        <v>20</v>
      </c>
    </row>
    <row r="55" spans="1:4">
      <c r="A55" t="s">
        <v>4</v>
      </c>
      <c r="B55" t="s">
        <v>24</v>
      </c>
      <c r="C55" s="1">
        <v>45229.763888888891</v>
      </c>
      <c r="D55" t="s">
        <v>21</v>
      </c>
    </row>
    <row r="56" spans="1:4">
      <c r="A56" t="s">
        <v>6</v>
      </c>
      <c r="B56" t="s">
        <v>25</v>
      </c>
      <c r="C56" s="1">
        <v>45229.699305555558</v>
      </c>
      <c r="D56" t="s">
        <v>21</v>
      </c>
    </row>
    <row r="57" spans="1:4">
      <c r="A57" t="s">
        <v>10</v>
      </c>
      <c r="B57" t="s">
        <v>24</v>
      </c>
      <c r="C57" s="1">
        <v>45229.694444444445</v>
      </c>
      <c r="D57" t="s">
        <v>20</v>
      </c>
    </row>
    <row r="58" spans="1:4">
      <c r="A58" t="s">
        <v>9</v>
      </c>
      <c r="B58" t="s">
        <v>25</v>
      </c>
      <c r="C58" s="1">
        <v>45229.682638888888</v>
      </c>
      <c r="D58" t="s">
        <v>21</v>
      </c>
    </row>
    <row r="59" spans="1:4">
      <c r="A59" t="s">
        <v>3</v>
      </c>
      <c r="B59" t="s">
        <v>24</v>
      </c>
      <c r="C59" s="1">
        <v>45229.662499999999</v>
      </c>
      <c r="D59" t="s">
        <v>20</v>
      </c>
    </row>
    <row r="60" spans="1:4">
      <c r="A60" t="s">
        <v>5</v>
      </c>
      <c r="B60" t="s">
        <v>25</v>
      </c>
      <c r="C60" s="1">
        <v>45229.634027777778</v>
      </c>
      <c r="D60" t="s">
        <v>22</v>
      </c>
    </row>
    <row r="61" spans="1:4">
      <c r="A61" t="s">
        <v>10</v>
      </c>
      <c r="B61" t="s">
        <v>25</v>
      </c>
      <c r="C61" s="1">
        <v>45229.632638888892</v>
      </c>
      <c r="D61" t="s">
        <v>20</v>
      </c>
    </row>
    <row r="62" spans="1:4">
      <c r="A62" t="s">
        <v>9</v>
      </c>
      <c r="B62" t="s">
        <v>24</v>
      </c>
      <c r="C62" s="1">
        <v>45229.629166666666</v>
      </c>
      <c r="D62" t="s">
        <v>21</v>
      </c>
    </row>
    <row r="63" spans="1:4">
      <c r="A63" t="s">
        <v>5</v>
      </c>
      <c r="B63" t="s">
        <v>25</v>
      </c>
      <c r="C63" s="1">
        <v>45229.575694444444</v>
      </c>
      <c r="D63" t="s">
        <v>20</v>
      </c>
    </row>
    <row r="64" spans="1:4">
      <c r="A64" t="s">
        <v>5</v>
      </c>
      <c r="B64" t="s">
        <v>25</v>
      </c>
      <c r="C64" s="1">
        <v>45229.574305555558</v>
      </c>
      <c r="D64" t="s">
        <v>21</v>
      </c>
    </row>
    <row r="65" spans="1:4">
      <c r="A65" t="s">
        <v>10</v>
      </c>
      <c r="B65" t="s">
        <v>25</v>
      </c>
      <c r="C65" s="1">
        <v>45229.566666666666</v>
      </c>
      <c r="D65" t="s">
        <v>21</v>
      </c>
    </row>
    <row r="66" spans="1:4">
      <c r="A66" t="s">
        <v>5</v>
      </c>
      <c r="B66" t="s">
        <v>24</v>
      </c>
      <c r="C66" s="1">
        <v>45229.544444444444</v>
      </c>
      <c r="D66" t="s">
        <v>22</v>
      </c>
    </row>
    <row r="67" spans="1:4">
      <c r="A67" t="s">
        <v>11</v>
      </c>
      <c r="B67" t="s">
        <v>24</v>
      </c>
      <c r="C67" s="1">
        <v>45229.410416666666</v>
      </c>
      <c r="D67" t="s">
        <v>21</v>
      </c>
    </row>
    <row r="68" spans="1:4">
      <c r="A68" t="s">
        <v>4</v>
      </c>
      <c r="B68" t="s">
        <v>24</v>
      </c>
      <c r="C68" s="1">
        <v>45228.035416666666</v>
      </c>
      <c r="D68" t="s">
        <v>20</v>
      </c>
    </row>
    <row r="69" spans="1:4">
      <c r="A69" t="s">
        <v>4</v>
      </c>
      <c r="B69" t="s">
        <v>25</v>
      </c>
      <c r="C69" s="1">
        <v>45227.930555555555</v>
      </c>
      <c r="D69" t="s">
        <v>20</v>
      </c>
    </row>
    <row r="70" spans="1:4">
      <c r="A70" t="s">
        <v>11</v>
      </c>
      <c r="B70" t="s">
        <v>24</v>
      </c>
      <c r="C70" s="1">
        <v>45227.825694444444</v>
      </c>
      <c r="D70" t="s">
        <v>20</v>
      </c>
    </row>
    <row r="71" spans="1:4">
      <c r="A71" t="s">
        <v>8</v>
      </c>
      <c r="B71" t="s">
        <v>25</v>
      </c>
      <c r="C71" s="1">
        <v>45227.822222222225</v>
      </c>
      <c r="D71" t="s">
        <v>22</v>
      </c>
    </row>
    <row r="72" spans="1:4">
      <c r="A72" t="s">
        <v>4</v>
      </c>
      <c r="B72" t="s">
        <v>24</v>
      </c>
      <c r="C72" s="1">
        <v>45227.79583333333</v>
      </c>
      <c r="D72" t="s">
        <v>20</v>
      </c>
    </row>
    <row r="73" spans="1:4">
      <c r="A73" t="s">
        <v>11</v>
      </c>
      <c r="B73" t="s">
        <v>24</v>
      </c>
      <c r="C73" s="1">
        <v>45227.75</v>
      </c>
      <c r="D73" t="s">
        <v>22</v>
      </c>
    </row>
    <row r="74" spans="1:4">
      <c r="A74" t="s">
        <v>4</v>
      </c>
      <c r="B74" t="s">
        <v>24</v>
      </c>
      <c r="C74" s="1">
        <v>45227.418749999997</v>
      </c>
      <c r="D74" t="s">
        <v>20</v>
      </c>
    </row>
    <row r="75" spans="1:4">
      <c r="A75" t="s">
        <v>11</v>
      </c>
      <c r="B75" t="s">
        <v>24</v>
      </c>
      <c r="C75" s="1">
        <v>45226.888194444444</v>
      </c>
      <c r="D75" t="s">
        <v>21</v>
      </c>
    </row>
    <row r="76" spans="1:4">
      <c r="A76" t="s">
        <v>4</v>
      </c>
      <c r="B76" t="s">
        <v>24</v>
      </c>
      <c r="C76" s="1">
        <v>45226.841666666667</v>
      </c>
      <c r="D76" t="s">
        <v>21</v>
      </c>
    </row>
    <row r="77" spans="1:4">
      <c r="A77" t="s">
        <v>1</v>
      </c>
      <c r="B77" t="s">
        <v>25</v>
      </c>
      <c r="C77" s="1">
        <v>45226.82916666667</v>
      </c>
      <c r="D77" t="s">
        <v>21</v>
      </c>
    </row>
    <row r="78" spans="1:4">
      <c r="A78" t="s">
        <v>5</v>
      </c>
      <c r="B78" t="s">
        <v>25</v>
      </c>
      <c r="C78" s="1">
        <v>45226.783333333333</v>
      </c>
      <c r="D78" t="s">
        <v>22</v>
      </c>
    </row>
    <row r="79" spans="1:4">
      <c r="A79" t="s">
        <v>9</v>
      </c>
      <c r="B79" t="s">
        <v>25</v>
      </c>
      <c r="C79" s="1">
        <v>45226.779861111114</v>
      </c>
      <c r="D79" t="s">
        <v>21</v>
      </c>
    </row>
    <row r="80" spans="1:4">
      <c r="A80" t="s">
        <v>3</v>
      </c>
      <c r="B80" t="s">
        <v>25</v>
      </c>
      <c r="C80" s="1">
        <v>45226.754861111112</v>
      </c>
      <c r="D80" t="s">
        <v>20</v>
      </c>
    </row>
    <row r="81" spans="1:4">
      <c r="A81" t="s">
        <v>7</v>
      </c>
      <c r="B81" t="s">
        <v>24</v>
      </c>
      <c r="C81" s="1">
        <v>45226.694444444445</v>
      </c>
      <c r="D81" t="s">
        <v>20</v>
      </c>
    </row>
    <row r="82" spans="1:4">
      <c r="A82" t="s">
        <v>5</v>
      </c>
      <c r="B82" t="s">
        <v>24</v>
      </c>
      <c r="C82" s="1">
        <v>45226.680555555555</v>
      </c>
      <c r="D82" t="s">
        <v>21</v>
      </c>
    </row>
    <row r="83" spans="1:4">
      <c r="A83" t="s">
        <v>4</v>
      </c>
      <c r="B83" t="s">
        <v>25</v>
      </c>
      <c r="C83" s="1">
        <v>45226.662499999999</v>
      </c>
      <c r="D83" t="s">
        <v>21</v>
      </c>
    </row>
    <row r="84" spans="1:4">
      <c r="A84" t="s">
        <v>6</v>
      </c>
      <c r="B84" t="s">
        <v>25</v>
      </c>
      <c r="C84" s="1">
        <v>45226.604166666664</v>
      </c>
      <c r="D84" t="s">
        <v>22</v>
      </c>
    </row>
    <row r="85" spans="1:4">
      <c r="A85" t="s">
        <v>5</v>
      </c>
      <c r="B85" t="s">
        <v>25</v>
      </c>
      <c r="C85" s="1">
        <v>45226.602083333331</v>
      </c>
      <c r="D85" t="s">
        <v>20</v>
      </c>
    </row>
    <row r="86" spans="1:4">
      <c r="A86" t="s">
        <v>5</v>
      </c>
      <c r="B86" t="s">
        <v>24</v>
      </c>
      <c r="C86" s="1">
        <v>45226.600694444445</v>
      </c>
      <c r="D86" t="s">
        <v>21</v>
      </c>
    </row>
    <row r="87" spans="1:4">
      <c r="A87" t="s">
        <v>3</v>
      </c>
      <c r="B87" t="s">
        <v>24</v>
      </c>
      <c r="C87" s="1">
        <v>45226.489583333336</v>
      </c>
      <c r="D87" t="s">
        <v>20</v>
      </c>
    </row>
    <row r="88" spans="1:4">
      <c r="A88" t="s">
        <v>3</v>
      </c>
      <c r="B88" t="s">
        <v>24</v>
      </c>
      <c r="C88" s="1">
        <v>45226.486111111109</v>
      </c>
      <c r="D88" t="s">
        <v>20</v>
      </c>
    </row>
    <row r="89" spans="1:4">
      <c r="A89" t="s">
        <v>5</v>
      </c>
      <c r="B89" t="s">
        <v>24</v>
      </c>
      <c r="C89" s="1">
        <v>45226.413194444445</v>
      </c>
      <c r="D89" t="s">
        <v>21</v>
      </c>
    </row>
    <row r="90" spans="1:4">
      <c r="A90" t="s">
        <v>3</v>
      </c>
      <c r="B90" t="s">
        <v>24</v>
      </c>
      <c r="C90" s="1">
        <v>45225.943055555559</v>
      </c>
      <c r="D90" t="s">
        <v>20</v>
      </c>
    </row>
    <row r="91" spans="1:4">
      <c r="A91" t="s">
        <v>11</v>
      </c>
      <c r="B91" t="s">
        <v>24</v>
      </c>
      <c r="C91" s="1">
        <v>45225.875</v>
      </c>
      <c r="D91" t="s">
        <v>21</v>
      </c>
    </row>
    <row r="92" spans="1:4">
      <c r="A92" t="s">
        <v>5</v>
      </c>
      <c r="B92" t="s">
        <v>25</v>
      </c>
      <c r="C92" s="1">
        <v>45225.870833333334</v>
      </c>
      <c r="D92" t="s">
        <v>20</v>
      </c>
    </row>
    <row r="93" spans="1:4">
      <c r="A93" t="s">
        <v>3</v>
      </c>
      <c r="B93" t="s">
        <v>24</v>
      </c>
      <c r="C93" s="1">
        <v>45225.868750000001</v>
      </c>
      <c r="D93" t="s">
        <v>20</v>
      </c>
    </row>
    <row r="94" spans="1:4">
      <c r="A94" t="s">
        <v>11</v>
      </c>
      <c r="B94" t="s">
        <v>24</v>
      </c>
      <c r="C94" s="1">
        <v>45225.865972222222</v>
      </c>
      <c r="D94" t="s">
        <v>22</v>
      </c>
    </row>
    <row r="95" spans="1:4">
      <c r="A95" t="s">
        <v>5</v>
      </c>
      <c r="B95" t="s">
        <v>25</v>
      </c>
      <c r="C95" s="1">
        <v>45225.804861111108</v>
      </c>
      <c r="D95" t="s">
        <v>21</v>
      </c>
    </row>
    <row r="96" spans="1:4">
      <c r="A96" t="s">
        <v>4</v>
      </c>
      <c r="B96" t="s">
        <v>25</v>
      </c>
      <c r="C96" s="1">
        <v>45225.803472222222</v>
      </c>
      <c r="D96" t="s">
        <v>21</v>
      </c>
    </row>
    <row r="97" spans="1:4">
      <c r="A97" t="s">
        <v>5</v>
      </c>
      <c r="B97" t="s">
        <v>25</v>
      </c>
      <c r="C97" s="1">
        <v>45225.722916666666</v>
      </c>
      <c r="D97" t="s">
        <v>21</v>
      </c>
    </row>
    <row r="98" spans="1:4">
      <c r="A98" t="s">
        <v>11</v>
      </c>
      <c r="B98" t="s">
        <v>25</v>
      </c>
      <c r="C98" s="1">
        <v>45225.685416666667</v>
      </c>
      <c r="D98" t="s">
        <v>20</v>
      </c>
    </row>
    <row r="99" spans="1:4">
      <c r="A99" t="s">
        <v>3</v>
      </c>
      <c r="B99" t="s">
        <v>24</v>
      </c>
      <c r="C99" s="1">
        <v>45225.660416666666</v>
      </c>
      <c r="D99" t="s">
        <v>20</v>
      </c>
    </row>
    <row r="100" spans="1:4">
      <c r="A100" t="s">
        <v>7</v>
      </c>
      <c r="B100" t="s">
        <v>24</v>
      </c>
      <c r="C100" s="1">
        <v>45225.620833333334</v>
      </c>
      <c r="D100" t="s">
        <v>21</v>
      </c>
    </row>
    <row r="101" spans="1:4">
      <c r="A101" t="s">
        <v>11</v>
      </c>
      <c r="B101" t="s">
        <v>25</v>
      </c>
      <c r="C101" s="1">
        <v>45225.604166666664</v>
      </c>
      <c r="D101" t="s">
        <v>20</v>
      </c>
    </row>
    <row r="102" spans="1:4">
      <c r="A102" t="s">
        <v>11</v>
      </c>
      <c r="B102" t="s">
        <v>24</v>
      </c>
      <c r="C102" s="1">
        <v>45225.520833333336</v>
      </c>
      <c r="D102" t="s">
        <v>21</v>
      </c>
    </row>
    <row r="103" spans="1:4">
      <c r="A103" t="s">
        <v>10</v>
      </c>
      <c r="B103" t="s">
        <v>25</v>
      </c>
      <c r="C103" s="1">
        <v>45225.508333333331</v>
      </c>
      <c r="D103" t="s">
        <v>21</v>
      </c>
    </row>
    <row r="104" spans="1:4">
      <c r="A104" t="s">
        <v>6</v>
      </c>
      <c r="B104" t="s">
        <v>24</v>
      </c>
      <c r="C104" s="1">
        <v>45225.449305555558</v>
      </c>
      <c r="D104" t="s">
        <v>21</v>
      </c>
    </row>
    <row r="105" spans="1:4">
      <c r="A105" t="s">
        <v>8</v>
      </c>
      <c r="B105" t="s">
        <v>24</v>
      </c>
      <c r="C105" s="1">
        <v>45225.448611111111</v>
      </c>
      <c r="D105" t="s">
        <v>21</v>
      </c>
    </row>
    <row r="106" spans="1:4">
      <c r="A106" t="s">
        <v>11</v>
      </c>
      <c r="B106" t="s">
        <v>24</v>
      </c>
      <c r="C106" s="1">
        <v>45225.186805555553</v>
      </c>
      <c r="D106" t="s">
        <v>20</v>
      </c>
    </row>
    <row r="107" spans="1:4">
      <c r="A107" t="s">
        <v>1</v>
      </c>
      <c r="B107" t="s">
        <v>24</v>
      </c>
      <c r="C107" s="1">
        <v>45225.179166666669</v>
      </c>
      <c r="D107" t="s">
        <v>21</v>
      </c>
    </row>
    <row r="108" spans="1:4">
      <c r="A108" t="s">
        <v>10</v>
      </c>
      <c r="B108" t="s">
        <v>25</v>
      </c>
      <c r="C108" s="1">
        <v>45224.946527777778</v>
      </c>
      <c r="D108" t="s">
        <v>22</v>
      </c>
    </row>
    <row r="109" spans="1:4">
      <c r="A109" t="s">
        <v>5</v>
      </c>
      <c r="B109" t="s">
        <v>24</v>
      </c>
      <c r="C109" s="1">
        <v>45224.921527777777</v>
      </c>
      <c r="D109" t="s">
        <v>21</v>
      </c>
    </row>
    <row r="110" spans="1:4">
      <c r="A110" t="s">
        <v>3</v>
      </c>
      <c r="B110" t="s">
        <v>24</v>
      </c>
      <c r="C110" s="1">
        <v>45224.907638888886</v>
      </c>
      <c r="D110" t="s">
        <v>20</v>
      </c>
    </row>
    <row r="111" spans="1:4">
      <c r="A111" t="s">
        <v>5</v>
      </c>
      <c r="B111" t="s">
        <v>24</v>
      </c>
      <c r="C111" s="1">
        <v>45224.894444444442</v>
      </c>
      <c r="D111" t="s">
        <v>22</v>
      </c>
    </row>
    <row r="112" spans="1:4">
      <c r="A112" t="s">
        <v>6</v>
      </c>
      <c r="B112" t="s">
        <v>24</v>
      </c>
      <c r="C112" s="1">
        <v>45224.881249999999</v>
      </c>
      <c r="D112" t="s">
        <v>22</v>
      </c>
    </row>
    <row r="113" spans="1:4">
      <c r="A113" t="s">
        <v>11</v>
      </c>
      <c r="B113" t="s">
        <v>25</v>
      </c>
      <c r="C113" s="1">
        <v>45224.852083333331</v>
      </c>
      <c r="D113" t="s">
        <v>21</v>
      </c>
    </row>
    <row r="114" spans="1:4">
      <c r="A114" t="s">
        <v>4</v>
      </c>
      <c r="B114" t="s">
        <v>25</v>
      </c>
      <c r="C114" s="1" t="s">
        <v>14</v>
      </c>
      <c r="D114" t="s">
        <v>21</v>
      </c>
    </row>
    <row r="115" spans="1:4">
      <c r="A115" t="s">
        <v>11</v>
      </c>
      <c r="B115" t="s">
        <v>25</v>
      </c>
      <c r="C115" s="1">
        <v>45224.813194444447</v>
      </c>
      <c r="D115" t="s">
        <v>21</v>
      </c>
    </row>
    <row r="116" spans="1:4">
      <c r="A116" t="s">
        <v>9</v>
      </c>
      <c r="B116" t="s">
        <v>25</v>
      </c>
      <c r="C116" s="1">
        <v>45224.800694444442</v>
      </c>
      <c r="D116" t="s">
        <v>21</v>
      </c>
    </row>
    <row r="117" spans="1:4">
      <c r="A117" t="s">
        <v>10</v>
      </c>
      <c r="B117" t="s">
        <v>25</v>
      </c>
      <c r="C117" s="1">
        <v>45224.786111111112</v>
      </c>
      <c r="D117" t="s">
        <v>21</v>
      </c>
    </row>
    <row r="118" spans="1:4">
      <c r="A118" t="s">
        <v>10</v>
      </c>
      <c r="B118" t="s">
        <v>25</v>
      </c>
      <c r="C118" s="1">
        <v>45224.78402777778</v>
      </c>
      <c r="D118" t="s">
        <v>21</v>
      </c>
    </row>
    <row r="119" spans="1:4">
      <c r="A119" t="s">
        <v>7</v>
      </c>
      <c r="B119" t="s">
        <v>25</v>
      </c>
      <c r="C119" s="1">
        <v>45224.780555555553</v>
      </c>
      <c r="D119" t="s">
        <v>20</v>
      </c>
    </row>
    <row r="120" spans="1:4">
      <c r="A120" t="s">
        <v>6</v>
      </c>
      <c r="B120" t="s">
        <v>24</v>
      </c>
      <c r="C120" s="1">
        <v>45224.76666666667</v>
      </c>
      <c r="D120" t="s">
        <v>22</v>
      </c>
    </row>
    <row r="121" spans="1:4">
      <c r="A121" t="s">
        <v>9</v>
      </c>
      <c r="B121" t="s">
        <v>25</v>
      </c>
      <c r="C121" s="1">
        <v>45224.723611111112</v>
      </c>
      <c r="D121" t="s">
        <v>21</v>
      </c>
    </row>
    <row r="122" spans="1:4">
      <c r="A122" t="s">
        <v>3</v>
      </c>
      <c r="B122" t="s">
        <v>24</v>
      </c>
      <c r="C122" s="1">
        <v>45224.722222222219</v>
      </c>
      <c r="D122" t="s">
        <v>20</v>
      </c>
    </row>
    <row r="123" spans="1:4">
      <c r="A123" t="s">
        <v>5</v>
      </c>
      <c r="B123" t="s">
        <v>25</v>
      </c>
      <c r="C123" s="1">
        <v>45224.72152777778</v>
      </c>
      <c r="D123" t="s">
        <v>21</v>
      </c>
    </row>
    <row r="124" spans="1:4">
      <c r="A124" t="s">
        <v>6</v>
      </c>
      <c r="B124" t="s">
        <v>25</v>
      </c>
      <c r="C124" s="1">
        <v>45224.71875</v>
      </c>
      <c r="D124" t="s">
        <v>21</v>
      </c>
    </row>
    <row r="125" spans="1:4">
      <c r="A125" t="s">
        <v>4</v>
      </c>
      <c r="B125" t="s">
        <v>24</v>
      </c>
      <c r="C125" s="1">
        <v>45224.706250000003</v>
      </c>
      <c r="D125" t="s">
        <v>21</v>
      </c>
    </row>
    <row r="126" spans="1:4">
      <c r="A126" t="s">
        <v>7</v>
      </c>
      <c r="B126" t="s">
        <v>24</v>
      </c>
      <c r="C126" s="1">
        <v>45224.686805555553</v>
      </c>
      <c r="D126" t="s">
        <v>21</v>
      </c>
    </row>
    <row r="127" spans="1:4">
      <c r="A127" t="s">
        <v>10</v>
      </c>
      <c r="B127" t="s">
        <v>25</v>
      </c>
      <c r="C127" s="1">
        <v>45224.663888888892</v>
      </c>
      <c r="D127" t="s">
        <v>20</v>
      </c>
    </row>
    <row r="128" spans="1:4">
      <c r="A128" t="s">
        <v>5</v>
      </c>
      <c r="B128" t="s">
        <v>25</v>
      </c>
      <c r="C128" s="1">
        <v>45224.648611111108</v>
      </c>
      <c r="D128" t="s">
        <v>20</v>
      </c>
    </row>
    <row r="129" spans="1:4">
      <c r="A129" t="s">
        <v>6</v>
      </c>
      <c r="B129" t="s">
        <v>25</v>
      </c>
      <c r="C129" s="1">
        <v>45224.604166666664</v>
      </c>
      <c r="D129" t="s">
        <v>21</v>
      </c>
    </row>
    <row r="130" spans="1:4">
      <c r="A130" t="s">
        <v>5</v>
      </c>
      <c r="B130" t="s">
        <v>24</v>
      </c>
      <c r="C130" s="1">
        <v>45224.602083333331</v>
      </c>
      <c r="D130" t="s">
        <v>21</v>
      </c>
    </row>
    <row r="131" spans="1:4">
      <c r="A131" t="s">
        <v>9</v>
      </c>
      <c r="B131" t="s">
        <v>25</v>
      </c>
      <c r="C131" s="1">
        <v>45224.59375</v>
      </c>
      <c r="D131" t="s">
        <v>22</v>
      </c>
    </row>
    <row r="132" spans="1:4">
      <c r="A132" t="s">
        <v>11</v>
      </c>
      <c r="B132" t="s">
        <v>25</v>
      </c>
      <c r="C132" s="1">
        <v>45224.59375</v>
      </c>
      <c r="D132" t="s">
        <v>22</v>
      </c>
    </row>
    <row r="133" spans="1:4">
      <c r="A133" t="s">
        <v>5</v>
      </c>
      <c r="B133" t="s">
        <v>25</v>
      </c>
      <c r="C133" s="1">
        <v>45224.580555555556</v>
      </c>
      <c r="D133" t="s">
        <v>21</v>
      </c>
    </row>
    <row r="134" spans="1:4">
      <c r="A134" t="s">
        <v>1</v>
      </c>
      <c r="B134" t="s">
        <v>24</v>
      </c>
      <c r="C134" s="1">
        <v>45224.55972222222</v>
      </c>
      <c r="D134" t="s">
        <v>21</v>
      </c>
    </row>
    <row r="135" spans="1:4">
      <c r="A135" t="s">
        <v>5</v>
      </c>
      <c r="B135" t="s">
        <v>25</v>
      </c>
      <c r="C135" s="1">
        <v>45224.548611111109</v>
      </c>
      <c r="D135" t="s">
        <v>21</v>
      </c>
    </row>
    <row r="136" spans="1:4">
      <c r="A136" t="s">
        <v>10</v>
      </c>
      <c r="B136" t="s">
        <v>25</v>
      </c>
      <c r="C136" s="1">
        <v>45224.545138888891</v>
      </c>
      <c r="D136" t="s">
        <v>21</v>
      </c>
    </row>
    <row r="137" spans="1:4">
      <c r="A137" t="s">
        <v>9</v>
      </c>
      <c r="B137" t="s">
        <v>24</v>
      </c>
      <c r="C137" s="1">
        <v>45224.521527777775</v>
      </c>
      <c r="D137" t="s">
        <v>20</v>
      </c>
    </row>
    <row r="138" spans="1:4">
      <c r="A138" t="s">
        <v>11</v>
      </c>
      <c r="B138" t="s">
        <v>24</v>
      </c>
      <c r="C138" s="1">
        <v>45224.14166666667</v>
      </c>
      <c r="D138" t="s">
        <v>21</v>
      </c>
    </row>
    <row r="139" spans="1:4">
      <c r="A139" t="s">
        <v>11</v>
      </c>
      <c r="B139" t="s">
        <v>25</v>
      </c>
      <c r="C139" s="1">
        <v>45224.002083333333</v>
      </c>
      <c r="D139" t="s">
        <v>22</v>
      </c>
    </row>
    <row r="140" spans="1:4">
      <c r="A140" t="s">
        <v>6</v>
      </c>
      <c r="B140" t="s">
        <v>24</v>
      </c>
      <c r="C140" s="1">
        <v>45223.89166666667</v>
      </c>
      <c r="D140" t="s">
        <v>22</v>
      </c>
    </row>
    <row r="141" spans="1:4">
      <c r="A141" t="s">
        <v>10</v>
      </c>
      <c r="B141" t="s">
        <v>25</v>
      </c>
      <c r="C141" s="1">
        <v>45223.855555555558</v>
      </c>
      <c r="D141" t="s">
        <v>22</v>
      </c>
    </row>
    <row r="142" spans="1:4">
      <c r="A142" t="s">
        <v>5</v>
      </c>
      <c r="B142" t="s">
        <v>25</v>
      </c>
      <c r="C142" s="1">
        <v>45223.851388888892</v>
      </c>
      <c r="D142" t="s">
        <v>21</v>
      </c>
    </row>
    <row r="143" spans="1:4">
      <c r="A143" t="s">
        <v>11</v>
      </c>
      <c r="B143" t="s">
        <v>25</v>
      </c>
      <c r="C143" s="1">
        <v>45223.840277777781</v>
      </c>
      <c r="D143" t="s">
        <v>22</v>
      </c>
    </row>
    <row r="144" spans="1:4">
      <c r="A144" t="s">
        <v>11</v>
      </c>
      <c r="B144" t="s">
        <v>25</v>
      </c>
      <c r="C144" s="1">
        <v>45223.777777777781</v>
      </c>
      <c r="D144" t="s">
        <v>22</v>
      </c>
    </row>
    <row r="145" spans="1:4">
      <c r="A145" t="s">
        <v>9</v>
      </c>
      <c r="B145" t="s">
        <v>25</v>
      </c>
      <c r="C145" s="1">
        <v>45223.769444444442</v>
      </c>
      <c r="D145" t="s">
        <v>22</v>
      </c>
    </row>
    <row r="146" spans="1:4">
      <c r="A146" t="s">
        <v>5</v>
      </c>
      <c r="B146" t="s">
        <v>24</v>
      </c>
      <c r="C146" s="1">
        <v>45223.731249999997</v>
      </c>
      <c r="D146" t="s">
        <v>20</v>
      </c>
    </row>
    <row r="147" spans="1:4">
      <c r="A147" t="s">
        <v>5</v>
      </c>
      <c r="B147" t="s">
        <v>24</v>
      </c>
      <c r="C147" s="1">
        <v>45223.725694444445</v>
      </c>
      <c r="D147" t="s">
        <v>22</v>
      </c>
    </row>
    <row r="148" spans="1:4">
      <c r="A148" t="s">
        <v>5</v>
      </c>
      <c r="B148" t="s">
        <v>25</v>
      </c>
      <c r="C148" s="1">
        <v>45223.669444444444</v>
      </c>
      <c r="D148" t="s">
        <v>20</v>
      </c>
    </row>
    <row r="149" spans="1:4">
      <c r="A149" t="s">
        <v>6</v>
      </c>
      <c r="B149" t="s">
        <v>24</v>
      </c>
      <c r="C149" s="1">
        <v>45223.665277777778</v>
      </c>
      <c r="D149" t="s">
        <v>22</v>
      </c>
    </row>
    <row r="150" spans="1:4">
      <c r="A150" t="s">
        <v>9</v>
      </c>
      <c r="B150" t="s">
        <v>25</v>
      </c>
      <c r="C150" s="1">
        <v>45223.665277777778</v>
      </c>
      <c r="D150" t="s">
        <v>21</v>
      </c>
    </row>
    <row r="151" spans="1:4">
      <c r="A151" t="s">
        <v>12</v>
      </c>
      <c r="B151" t="s">
        <v>24</v>
      </c>
      <c r="C151" s="1">
        <v>45223.665277777778</v>
      </c>
      <c r="D151" t="s">
        <v>21</v>
      </c>
    </row>
    <row r="152" spans="1:4">
      <c r="A152" t="s">
        <v>5</v>
      </c>
      <c r="B152" t="s">
        <v>24</v>
      </c>
      <c r="C152" s="1">
        <v>45223.659722222219</v>
      </c>
      <c r="D152" t="s">
        <v>20</v>
      </c>
    </row>
    <row r="153" spans="1:4">
      <c r="A153" t="s">
        <v>7</v>
      </c>
      <c r="B153" t="s">
        <v>24</v>
      </c>
      <c r="C153" s="1">
        <v>45223.511805555558</v>
      </c>
      <c r="D153" t="s">
        <v>21</v>
      </c>
    </row>
    <row r="154" spans="1:4">
      <c r="A154" t="s">
        <v>5</v>
      </c>
      <c r="B154" t="s">
        <v>24</v>
      </c>
      <c r="C154" s="1">
        <v>45223.441666666666</v>
      </c>
      <c r="D154" t="s">
        <v>21</v>
      </c>
    </row>
    <row r="155" spans="1:4">
      <c r="A155" t="s">
        <v>12</v>
      </c>
      <c r="B155" t="s">
        <v>25</v>
      </c>
      <c r="C155" s="1">
        <v>45223.29791666667</v>
      </c>
      <c r="D155" t="s">
        <v>21</v>
      </c>
    </row>
    <row r="156" spans="1:4">
      <c r="A156" t="s">
        <v>11</v>
      </c>
      <c r="B156" t="s">
        <v>24</v>
      </c>
      <c r="C156" s="1">
        <v>45222.993055555555</v>
      </c>
      <c r="D156" t="s">
        <v>20</v>
      </c>
    </row>
    <row r="157" spans="1:4">
      <c r="A157" t="s">
        <v>5</v>
      </c>
      <c r="B157" t="s">
        <v>24</v>
      </c>
      <c r="C157" s="1">
        <v>45222.938888888886</v>
      </c>
      <c r="D157" t="s">
        <v>20</v>
      </c>
    </row>
    <row r="158" spans="1:4">
      <c r="A158" t="s">
        <v>5</v>
      </c>
      <c r="B158" t="s">
        <v>25</v>
      </c>
      <c r="C158" s="1">
        <v>45222.867361111108</v>
      </c>
      <c r="D158" t="s">
        <v>21</v>
      </c>
    </row>
    <row r="159" spans="1:4">
      <c r="A159" t="s">
        <v>4</v>
      </c>
      <c r="B159" t="s">
        <v>25</v>
      </c>
      <c r="C159" s="1">
        <v>45222.84652777778</v>
      </c>
      <c r="D159" t="s">
        <v>21</v>
      </c>
    </row>
    <row r="160" spans="1:4">
      <c r="A160" t="s">
        <v>6</v>
      </c>
      <c r="B160" t="s">
        <v>25</v>
      </c>
      <c r="C160" s="1">
        <v>45222.845833333333</v>
      </c>
      <c r="D160" t="s">
        <v>22</v>
      </c>
    </row>
    <row r="161" spans="1:4">
      <c r="A161" t="s">
        <v>7</v>
      </c>
      <c r="B161" t="s">
        <v>25</v>
      </c>
      <c r="C161" s="1">
        <v>45222.831944444442</v>
      </c>
      <c r="D161" t="s">
        <v>22</v>
      </c>
    </row>
    <row r="162" spans="1:4">
      <c r="A162" t="s">
        <v>3</v>
      </c>
      <c r="B162" t="s">
        <v>25</v>
      </c>
      <c r="C162" s="1">
        <v>45222.811111111114</v>
      </c>
      <c r="D162" t="s">
        <v>20</v>
      </c>
    </row>
    <row r="163" spans="1:4">
      <c r="A163" t="s">
        <v>9</v>
      </c>
      <c r="B163" t="s">
        <v>25</v>
      </c>
      <c r="C163" s="1">
        <v>45222.771527777775</v>
      </c>
      <c r="D163" t="s">
        <v>22</v>
      </c>
    </row>
    <row r="164" spans="1:4">
      <c r="A164" t="s">
        <v>6</v>
      </c>
      <c r="B164" t="s">
        <v>25</v>
      </c>
      <c r="C164" s="1">
        <v>45222.767361111109</v>
      </c>
      <c r="D164" t="s">
        <v>21</v>
      </c>
    </row>
    <row r="165" spans="1:4">
      <c r="A165" t="s">
        <v>6</v>
      </c>
      <c r="B165" t="s">
        <v>24</v>
      </c>
      <c r="C165" s="1">
        <v>45222.761111111111</v>
      </c>
      <c r="D165" t="s">
        <v>20</v>
      </c>
    </row>
    <row r="166" spans="1:4">
      <c r="A166" t="s">
        <v>11</v>
      </c>
      <c r="B166" t="s">
        <v>25</v>
      </c>
      <c r="C166" s="1">
        <v>45222.757638888892</v>
      </c>
      <c r="D166" t="s">
        <v>22</v>
      </c>
    </row>
    <row r="167" spans="1:4">
      <c r="A167" t="s">
        <v>5</v>
      </c>
      <c r="B167" t="s">
        <v>25</v>
      </c>
      <c r="C167" s="1">
        <v>45222.724305555559</v>
      </c>
      <c r="D167" t="s">
        <v>20</v>
      </c>
    </row>
    <row r="168" spans="1:4">
      <c r="A168" t="s">
        <v>7</v>
      </c>
      <c r="B168" t="s">
        <v>25</v>
      </c>
      <c r="C168" s="1">
        <v>45222.718055555553</v>
      </c>
      <c r="D168" t="s">
        <v>20</v>
      </c>
    </row>
    <row r="169" spans="1:4">
      <c r="A169" t="s">
        <v>5</v>
      </c>
      <c r="B169" t="s">
        <v>25</v>
      </c>
      <c r="C169" s="1">
        <v>45222.613888888889</v>
      </c>
      <c r="D169" t="s">
        <v>22</v>
      </c>
    </row>
    <row r="170" spans="1:4">
      <c r="A170" t="s">
        <v>6</v>
      </c>
      <c r="B170" t="s">
        <v>25</v>
      </c>
      <c r="C170" s="1">
        <v>45222.576388888891</v>
      </c>
      <c r="D170" t="s">
        <v>21</v>
      </c>
    </row>
    <row r="171" spans="1:4">
      <c r="A171" t="s">
        <v>3</v>
      </c>
      <c r="B171" t="s">
        <v>24</v>
      </c>
      <c r="C171" s="1">
        <v>45222.574999999997</v>
      </c>
      <c r="D171" t="s">
        <v>20</v>
      </c>
    </row>
    <row r="172" spans="1:4">
      <c r="A172" t="s">
        <v>6</v>
      </c>
      <c r="B172" t="s">
        <v>24</v>
      </c>
      <c r="C172" s="1">
        <v>45222.531944444447</v>
      </c>
      <c r="D172" t="s">
        <v>21</v>
      </c>
    </row>
    <row r="173" spans="1:4">
      <c r="A173" t="s">
        <v>10</v>
      </c>
      <c r="B173" t="s">
        <v>24</v>
      </c>
      <c r="C173" s="1">
        <v>45222.504166666666</v>
      </c>
      <c r="D173" t="s">
        <v>20</v>
      </c>
    </row>
    <row r="174" spans="1:4">
      <c r="A174" t="s">
        <v>5</v>
      </c>
      <c r="B174" t="s">
        <v>24</v>
      </c>
      <c r="C174" s="1">
        <v>45222.48333333333</v>
      </c>
      <c r="D174" t="s">
        <v>20</v>
      </c>
    </row>
    <row r="175" spans="1:4">
      <c r="A175" t="s">
        <v>6</v>
      </c>
      <c r="B175" t="s">
        <v>24</v>
      </c>
      <c r="C175" s="1">
        <v>45222.443055555559</v>
      </c>
      <c r="D175" t="s">
        <v>20</v>
      </c>
    </row>
    <row r="176" spans="1:4">
      <c r="A176" t="s">
        <v>9</v>
      </c>
      <c r="B176" t="s">
        <v>25</v>
      </c>
      <c r="C176" s="1">
        <v>45220.65902777778</v>
      </c>
      <c r="D176" t="s">
        <v>22</v>
      </c>
    </row>
    <row r="177" spans="1:4">
      <c r="A177" t="s">
        <v>4</v>
      </c>
      <c r="B177" t="s">
        <v>25</v>
      </c>
      <c r="C177" s="1">
        <v>45220.602777777778</v>
      </c>
      <c r="D177" t="s">
        <v>21</v>
      </c>
    </row>
    <row r="178" spans="1:4">
      <c r="A178" t="s">
        <v>5</v>
      </c>
      <c r="B178" t="s">
        <v>24</v>
      </c>
      <c r="C178" s="1">
        <v>45220.362500000003</v>
      </c>
      <c r="D178" t="s">
        <v>21</v>
      </c>
    </row>
    <row r="179" spans="1:4">
      <c r="A179" t="s">
        <v>11</v>
      </c>
      <c r="B179" t="s">
        <v>25</v>
      </c>
      <c r="C179" s="1">
        <v>45220.17291666667</v>
      </c>
      <c r="D179" t="s">
        <v>22</v>
      </c>
    </row>
    <row r="180" spans="1:4">
      <c r="A180" t="s">
        <v>4</v>
      </c>
      <c r="B180" t="s">
        <v>24</v>
      </c>
      <c r="C180" s="1">
        <v>45219.842361111114</v>
      </c>
      <c r="D180" t="s">
        <v>21</v>
      </c>
    </row>
    <row r="181" spans="1:4">
      <c r="A181" t="s">
        <v>5</v>
      </c>
      <c r="B181" t="s">
        <v>25</v>
      </c>
      <c r="C181" s="1">
        <v>45219.840277777781</v>
      </c>
      <c r="D181" t="s">
        <v>22</v>
      </c>
    </row>
    <row r="182" spans="1:4">
      <c r="A182" t="s">
        <v>5</v>
      </c>
      <c r="B182" t="s">
        <v>24</v>
      </c>
      <c r="C182" s="1">
        <v>45219.840277777781</v>
      </c>
      <c r="D182" t="s">
        <v>21</v>
      </c>
    </row>
    <row r="183" spans="1:4">
      <c r="A183" t="s">
        <v>11</v>
      </c>
      <c r="B183" t="s">
        <v>24</v>
      </c>
      <c r="C183" s="1">
        <v>45219.825694444444</v>
      </c>
      <c r="D183" t="s">
        <v>22</v>
      </c>
    </row>
    <row r="184" spans="1:4">
      <c r="A184" t="s">
        <v>5</v>
      </c>
      <c r="B184" t="s">
        <v>24</v>
      </c>
      <c r="C184" s="1">
        <v>45219.761111111111</v>
      </c>
      <c r="D184" t="s">
        <v>20</v>
      </c>
    </row>
    <row r="185" spans="1:4">
      <c r="A185" t="s">
        <v>5</v>
      </c>
      <c r="B185" t="s">
        <v>24</v>
      </c>
      <c r="C185" s="1">
        <v>45222.136805555558</v>
      </c>
      <c r="D185" t="s">
        <v>20</v>
      </c>
    </row>
    <row r="186" spans="1:4">
      <c r="A186" t="s">
        <v>5</v>
      </c>
      <c r="B186" t="s">
        <v>25</v>
      </c>
      <c r="C186" s="1">
        <v>45221.98333333333</v>
      </c>
      <c r="D186" t="s">
        <v>21</v>
      </c>
    </row>
    <row r="187" spans="1:4">
      <c r="A187" t="s">
        <v>9</v>
      </c>
      <c r="B187" t="s">
        <v>25</v>
      </c>
      <c r="C187" s="1">
        <v>45221.959722222222</v>
      </c>
      <c r="D187" t="s">
        <v>22</v>
      </c>
    </row>
    <row r="188" spans="1:4">
      <c r="A188" t="s">
        <v>7</v>
      </c>
      <c r="B188" t="s">
        <v>25</v>
      </c>
      <c r="C188" s="1">
        <v>45221.907638888886</v>
      </c>
      <c r="D188" t="s">
        <v>22</v>
      </c>
    </row>
    <row r="189" spans="1:4">
      <c r="A189" t="s">
        <v>5</v>
      </c>
      <c r="B189" t="s">
        <v>25</v>
      </c>
      <c r="C189" s="1">
        <v>45221.881944444445</v>
      </c>
      <c r="D189" t="s">
        <v>22</v>
      </c>
    </row>
    <row r="190" spans="1:4">
      <c r="A190" t="s">
        <v>1</v>
      </c>
      <c r="B190" t="s">
        <v>24</v>
      </c>
      <c r="C190" s="1">
        <v>45221.863888888889</v>
      </c>
      <c r="D190" t="s">
        <v>21</v>
      </c>
    </row>
    <row r="191" spans="1:4">
      <c r="A191" t="s">
        <v>5</v>
      </c>
      <c r="B191" t="s">
        <v>25</v>
      </c>
      <c r="C191" s="1">
        <v>45221.577777777777</v>
      </c>
      <c r="D191" t="s">
        <v>22</v>
      </c>
    </row>
    <row r="192" spans="1:4">
      <c r="A192" t="s">
        <v>5</v>
      </c>
      <c r="B192" t="s">
        <v>25</v>
      </c>
      <c r="C192" s="1">
        <v>45221.138888888891</v>
      </c>
      <c r="D192" t="s">
        <v>20</v>
      </c>
    </row>
    <row r="193" spans="1:4">
      <c r="A193" t="s">
        <v>5</v>
      </c>
      <c r="B193" t="s">
        <v>25</v>
      </c>
      <c r="C193" s="1">
        <v>45221.091666666667</v>
      </c>
      <c r="D193" t="s">
        <v>22</v>
      </c>
    </row>
    <row r="194" spans="1:4">
      <c r="A194" t="s">
        <v>5</v>
      </c>
      <c r="B194" t="s">
        <v>25</v>
      </c>
      <c r="C194" s="1">
        <v>45220.844444444447</v>
      </c>
      <c r="D194" t="s">
        <v>22</v>
      </c>
    </row>
    <row r="195" spans="1:4">
      <c r="A195" t="s">
        <v>9</v>
      </c>
      <c r="B195" t="s">
        <v>24</v>
      </c>
      <c r="C195" s="1">
        <v>45219.698611111111</v>
      </c>
      <c r="D195" t="s">
        <v>21</v>
      </c>
    </row>
    <row r="196" spans="1:4">
      <c r="A196" t="s">
        <v>5</v>
      </c>
      <c r="B196" t="s">
        <v>24</v>
      </c>
      <c r="C196" s="1">
        <v>45219.652083333334</v>
      </c>
      <c r="D196" t="s">
        <v>20</v>
      </c>
    </row>
    <row r="197" spans="1:4">
      <c r="A197" t="s">
        <v>1</v>
      </c>
      <c r="B197" t="s">
        <v>24</v>
      </c>
      <c r="C197" s="1">
        <v>45219.602777777778</v>
      </c>
      <c r="D197" t="s">
        <v>21</v>
      </c>
    </row>
    <row r="198" spans="1:4">
      <c r="A198" t="s">
        <v>11</v>
      </c>
      <c r="B198" t="s">
        <v>24</v>
      </c>
      <c r="C198" s="1">
        <v>45219.560416666667</v>
      </c>
      <c r="D198" t="s">
        <v>22</v>
      </c>
    </row>
    <row r="199" spans="1:4">
      <c r="A199" t="s">
        <v>6</v>
      </c>
      <c r="B199" t="s">
        <v>25</v>
      </c>
      <c r="C199" s="1">
        <v>45219.419444444444</v>
      </c>
      <c r="D199" t="s">
        <v>22</v>
      </c>
    </row>
    <row r="200" spans="1:4">
      <c r="A200" t="s">
        <v>5</v>
      </c>
      <c r="B200" t="s">
        <v>25</v>
      </c>
      <c r="C200" s="1">
        <v>45218.913194444445</v>
      </c>
      <c r="D200" t="s">
        <v>22</v>
      </c>
    </row>
    <row r="201" spans="1:4">
      <c r="A201" t="s">
        <v>6</v>
      </c>
      <c r="B201" t="s">
        <v>24</v>
      </c>
      <c r="C201" s="1">
        <v>45218.838888888888</v>
      </c>
      <c r="D201" t="s">
        <v>22</v>
      </c>
    </row>
    <row r="202" spans="1:4">
      <c r="A202" t="s">
        <v>7</v>
      </c>
      <c r="B202" t="s">
        <v>24</v>
      </c>
      <c r="C202" s="1">
        <v>45218.836111111108</v>
      </c>
      <c r="D202" t="s">
        <v>21</v>
      </c>
    </row>
    <row r="203" spans="1:4">
      <c r="A203" t="s">
        <v>6</v>
      </c>
      <c r="B203" t="s">
        <v>24</v>
      </c>
      <c r="C203" s="1">
        <v>45218.801388888889</v>
      </c>
      <c r="D203" t="s">
        <v>22</v>
      </c>
    </row>
    <row r="204" spans="1:4">
      <c r="A204" t="s">
        <v>6</v>
      </c>
      <c r="B204" t="s">
        <v>24</v>
      </c>
      <c r="C204" s="1">
        <v>45218.729861111111</v>
      </c>
      <c r="D204" t="s">
        <v>21</v>
      </c>
    </row>
    <row r="205" spans="1:4">
      <c r="A205" t="s">
        <v>7</v>
      </c>
      <c r="B205" t="s">
        <v>24</v>
      </c>
      <c r="C205" s="1">
        <v>45218.695833333331</v>
      </c>
      <c r="D205" t="s">
        <v>22</v>
      </c>
    </row>
    <row r="206" spans="1:4">
      <c r="A206" t="s">
        <v>3</v>
      </c>
      <c r="B206" t="s">
        <v>24</v>
      </c>
      <c r="C206" s="1">
        <v>45218.669444444444</v>
      </c>
      <c r="D206" t="s">
        <v>20</v>
      </c>
    </row>
    <row r="207" spans="1:4">
      <c r="A207" t="s">
        <v>12</v>
      </c>
      <c r="B207" t="s">
        <v>24</v>
      </c>
      <c r="C207" s="1">
        <v>45218.642361111109</v>
      </c>
      <c r="D207" t="s">
        <v>21</v>
      </c>
    </row>
    <row r="208" spans="1:4">
      <c r="A208" t="s">
        <v>6</v>
      </c>
      <c r="B208" t="s">
        <v>25</v>
      </c>
      <c r="C208" s="1">
        <v>45218.598611111112</v>
      </c>
      <c r="D208" t="s">
        <v>21</v>
      </c>
    </row>
    <row r="209" spans="1:4">
      <c r="A209" t="s">
        <v>9</v>
      </c>
      <c r="B209" t="s">
        <v>25</v>
      </c>
      <c r="C209" s="1">
        <v>45218.594444444447</v>
      </c>
      <c r="D209" t="s">
        <v>21</v>
      </c>
    </row>
    <row r="210" spans="1:4">
      <c r="A210" t="s">
        <v>10</v>
      </c>
      <c r="B210" t="s">
        <v>25</v>
      </c>
      <c r="C210" s="1">
        <v>45218.565972222219</v>
      </c>
      <c r="D210" t="s">
        <v>20</v>
      </c>
    </row>
    <row r="211" spans="1:4">
      <c r="A211" t="s">
        <v>5</v>
      </c>
      <c r="B211" t="s">
        <v>25</v>
      </c>
      <c r="C211" s="1">
        <v>45218.55</v>
      </c>
      <c r="D211" t="s">
        <v>22</v>
      </c>
    </row>
    <row r="212" spans="1:4">
      <c r="A212" t="s">
        <v>11</v>
      </c>
      <c r="B212" t="s">
        <v>24</v>
      </c>
      <c r="C212" s="1">
        <v>45218.534722222219</v>
      </c>
      <c r="D212" t="s">
        <v>20</v>
      </c>
    </row>
    <row r="213" spans="1:4">
      <c r="A213" t="s">
        <v>12</v>
      </c>
      <c r="B213" t="s">
        <v>25</v>
      </c>
      <c r="C213" s="1">
        <v>45218.491666666669</v>
      </c>
      <c r="D213" t="s">
        <v>21</v>
      </c>
    </row>
    <row r="214" spans="1:4">
      <c r="A214" t="s">
        <v>7</v>
      </c>
      <c r="B214" t="s">
        <v>25</v>
      </c>
      <c r="C214" s="1">
        <v>45218.481944444444</v>
      </c>
      <c r="D214" t="s">
        <v>21</v>
      </c>
    </row>
    <row r="215" spans="1:4">
      <c r="A215" t="s">
        <v>3</v>
      </c>
      <c r="B215" t="s">
        <v>25</v>
      </c>
      <c r="C215" s="1">
        <v>45218.445833333331</v>
      </c>
      <c r="D215" t="s">
        <v>20</v>
      </c>
    </row>
    <row r="216" spans="1:4">
      <c r="A216" t="s">
        <v>7</v>
      </c>
      <c r="B216" t="s">
        <v>25</v>
      </c>
      <c r="C216" s="1">
        <v>45218.405555555553</v>
      </c>
      <c r="D216" t="s">
        <v>21</v>
      </c>
    </row>
    <row r="217" spans="1:4">
      <c r="A217" t="s">
        <v>6</v>
      </c>
      <c r="B217" t="s">
        <v>25</v>
      </c>
      <c r="C217" s="1">
        <v>45218.380555555559</v>
      </c>
      <c r="D217" t="s">
        <v>22</v>
      </c>
    </row>
    <row r="218" spans="1:4">
      <c r="A218" t="s">
        <v>11</v>
      </c>
      <c r="B218" t="s">
        <v>25</v>
      </c>
      <c r="C218" s="1">
        <v>45218.301388888889</v>
      </c>
      <c r="D218" t="s">
        <v>21</v>
      </c>
    </row>
    <row r="219" spans="1:4">
      <c r="A219" t="s">
        <v>11</v>
      </c>
      <c r="B219" t="s">
        <v>25</v>
      </c>
      <c r="C219" s="1">
        <v>45218.126388888886</v>
      </c>
      <c r="D219" t="s">
        <v>20</v>
      </c>
    </row>
    <row r="220" spans="1:4">
      <c r="A220" t="s">
        <v>5</v>
      </c>
      <c r="B220" t="s">
        <v>25</v>
      </c>
      <c r="C220" s="1">
        <v>45217.956944444442</v>
      </c>
      <c r="D220" t="s">
        <v>21</v>
      </c>
    </row>
    <row r="221" spans="1:4">
      <c r="A221" t="s">
        <v>5</v>
      </c>
      <c r="B221" t="s">
        <v>24</v>
      </c>
      <c r="C221" s="1">
        <v>45217.839583333334</v>
      </c>
      <c r="D221" t="s">
        <v>20</v>
      </c>
    </row>
    <row r="222" spans="1:4">
      <c r="A222" t="s">
        <v>5</v>
      </c>
      <c r="B222" t="s">
        <v>25</v>
      </c>
      <c r="C222" s="1">
        <v>45217.788888888892</v>
      </c>
      <c r="D222" t="s">
        <v>21</v>
      </c>
    </row>
    <row r="223" spans="1:4">
      <c r="A223" t="s">
        <v>5</v>
      </c>
      <c r="B223" t="s">
        <v>25</v>
      </c>
      <c r="C223" s="1">
        <v>45217.768750000003</v>
      </c>
      <c r="D223" t="s">
        <v>21</v>
      </c>
    </row>
    <row r="224" spans="1:4">
      <c r="A224" t="s">
        <v>7</v>
      </c>
      <c r="B224" t="s">
        <v>25</v>
      </c>
      <c r="C224" s="1">
        <v>45217.750694444447</v>
      </c>
      <c r="D224" t="s">
        <v>22</v>
      </c>
    </row>
    <row r="225" spans="1:4">
      <c r="A225" t="s">
        <v>5</v>
      </c>
      <c r="B225" t="s">
        <v>24</v>
      </c>
      <c r="C225" s="1">
        <v>45217.696527777778</v>
      </c>
      <c r="D225" t="s">
        <v>20</v>
      </c>
    </row>
    <row r="226" spans="1:4">
      <c r="A226" t="s">
        <v>10</v>
      </c>
      <c r="B226" t="s">
        <v>24</v>
      </c>
      <c r="C226" s="1">
        <v>45217.649305555555</v>
      </c>
      <c r="D226" t="s">
        <v>21</v>
      </c>
    </row>
    <row r="227" spans="1:4">
      <c r="A227" t="s">
        <v>5</v>
      </c>
      <c r="B227" t="s">
        <v>25</v>
      </c>
      <c r="C227" s="1">
        <v>45217.637499999997</v>
      </c>
      <c r="D227" t="s">
        <v>20</v>
      </c>
    </row>
    <row r="228" spans="1:4">
      <c r="A228" t="s">
        <v>10</v>
      </c>
      <c r="B228" t="s">
        <v>25</v>
      </c>
      <c r="C228" s="1" t="s">
        <v>14</v>
      </c>
      <c r="D228" t="s">
        <v>20</v>
      </c>
    </row>
    <row r="229" spans="1:4">
      <c r="A229" t="s">
        <v>6</v>
      </c>
      <c r="B229" t="s">
        <v>24</v>
      </c>
      <c r="C229" s="1">
        <v>45217.586805555555</v>
      </c>
      <c r="D229" t="s">
        <v>22</v>
      </c>
    </row>
    <row r="230" spans="1:4">
      <c r="A230" t="s">
        <v>7</v>
      </c>
      <c r="B230" t="s">
        <v>25</v>
      </c>
      <c r="C230" s="1">
        <v>45217.568749999999</v>
      </c>
      <c r="D230" t="s">
        <v>21</v>
      </c>
    </row>
    <row r="231" spans="1:4">
      <c r="A231" t="s">
        <v>4</v>
      </c>
      <c r="B231" t="s">
        <v>25</v>
      </c>
      <c r="C231" s="1">
        <v>45217.565972222219</v>
      </c>
      <c r="D231" t="s">
        <v>20</v>
      </c>
    </row>
    <row r="232" spans="1:4">
      <c r="A232" t="s">
        <v>6</v>
      </c>
      <c r="B232" t="s">
        <v>24</v>
      </c>
      <c r="C232" s="1">
        <v>45217.513888888891</v>
      </c>
      <c r="D232" t="s">
        <v>22</v>
      </c>
    </row>
    <row r="233" spans="1:4">
      <c r="A233" t="s">
        <v>11</v>
      </c>
      <c r="B233" t="s">
        <v>25</v>
      </c>
      <c r="C233" s="1">
        <v>45217.000694444447</v>
      </c>
      <c r="D233" t="s">
        <v>22</v>
      </c>
    </row>
    <row r="234" spans="1:4">
      <c r="A234" t="s">
        <v>11</v>
      </c>
      <c r="B234" t="s">
        <v>24</v>
      </c>
      <c r="C234" s="1">
        <v>45216.993055555555</v>
      </c>
      <c r="D234" t="s">
        <v>20</v>
      </c>
    </row>
    <row r="235" spans="1:4">
      <c r="A235" t="s">
        <v>5</v>
      </c>
      <c r="B235" t="s">
        <v>24</v>
      </c>
      <c r="C235" s="1">
        <v>45216.974999999999</v>
      </c>
      <c r="D235" t="s">
        <v>22</v>
      </c>
    </row>
    <row r="236" spans="1:4">
      <c r="A236" t="s">
        <v>5</v>
      </c>
      <c r="B236" t="s">
        <v>24</v>
      </c>
      <c r="C236" s="1">
        <v>45216.953472222223</v>
      </c>
      <c r="D236" t="s">
        <v>21</v>
      </c>
    </row>
    <row r="237" spans="1:4">
      <c r="A237" t="s">
        <v>5</v>
      </c>
      <c r="B237" t="s">
        <v>24</v>
      </c>
      <c r="C237" s="1">
        <v>45216.940972222219</v>
      </c>
      <c r="D237" t="s">
        <v>20</v>
      </c>
    </row>
    <row r="238" spans="1:4">
      <c r="A238" t="s">
        <v>5</v>
      </c>
      <c r="B238" t="s">
        <v>24</v>
      </c>
      <c r="C238" s="1">
        <v>45216.907638888886</v>
      </c>
      <c r="D238" t="s">
        <v>20</v>
      </c>
    </row>
    <row r="239" spans="1:4">
      <c r="A239" t="s">
        <v>5</v>
      </c>
      <c r="B239" t="s">
        <v>24</v>
      </c>
      <c r="C239" s="1">
        <v>45216.785416666666</v>
      </c>
      <c r="D239" t="s">
        <v>21</v>
      </c>
    </row>
    <row r="240" spans="1:4">
      <c r="A240" t="s">
        <v>11</v>
      </c>
      <c r="B240" t="s">
        <v>24</v>
      </c>
      <c r="C240" s="1">
        <v>45216.763888888891</v>
      </c>
      <c r="D240" t="s">
        <v>20</v>
      </c>
    </row>
    <row r="241" spans="1:4">
      <c r="A241" t="s">
        <v>5</v>
      </c>
      <c r="B241" t="s">
        <v>25</v>
      </c>
      <c r="C241" s="1">
        <v>45216.759027777778</v>
      </c>
      <c r="D241" t="s">
        <v>22</v>
      </c>
    </row>
    <row r="242" spans="1:4">
      <c r="A242" t="s">
        <v>6</v>
      </c>
      <c r="B242" t="s">
        <v>24</v>
      </c>
      <c r="C242" s="1">
        <v>45216.750694444447</v>
      </c>
      <c r="D242" t="s">
        <v>22</v>
      </c>
    </row>
    <row r="243" spans="1:4">
      <c r="A243" t="s">
        <v>9</v>
      </c>
      <c r="B243" t="s">
        <v>25</v>
      </c>
      <c r="C243" s="1">
        <v>45216.729166666664</v>
      </c>
      <c r="D243" t="s">
        <v>20</v>
      </c>
    </row>
    <row r="244" spans="1:4">
      <c r="A244" t="s">
        <v>3</v>
      </c>
      <c r="B244" t="s">
        <v>24</v>
      </c>
      <c r="C244" s="1">
        <v>45216.725694444445</v>
      </c>
      <c r="D244" t="s">
        <v>20</v>
      </c>
    </row>
    <row r="245" spans="1:4">
      <c r="A245" t="s">
        <v>5</v>
      </c>
      <c r="B245" t="s">
        <v>25</v>
      </c>
      <c r="C245" s="1">
        <v>45216.720833333333</v>
      </c>
      <c r="D245" t="s">
        <v>21</v>
      </c>
    </row>
    <row r="246" spans="1:4">
      <c r="A246" t="s">
        <v>9</v>
      </c>
      <c r="B246" t="s">
        <v>24</v>
      </c>
      <c r="C246" s="1">
        <v>45216.718055555553</v>
      </c>
      <c r="D246" t="s">
        <v>21</v>
      </c>
    </row>
    <row r="247" spans="1:4">
      <c r="A247" t="s">
        <v>12</v>
      </c>
      <c r="B247" t="s">
        <v>24</v>
      </c>
      <c r="C247" s="1">
        <v>45216.675694444442</v>
      </c>
      <c r="D247" t="s">
        <v>21</v>
      </c>
    </row>
    <row r="248" spans="1:4">
      <c r="A248" t="s">
        <v>9</v>
      </c>
      <c r="B248" t="s">
        <v>24</v>
      </c>
      <c r="C248" s="1">
        <v>45216.67083333333</v>
      </c>
      <c r="D248" t="s">
        <v>21</v>
      </c>
    </row>
    <row r="249" spans="1:4">
      <c r="A249" t="s">
        <v>12</v>
      </c>
      <c r="B249" t="s">
        <v>24</v>
      </c>
      <c r="C249" s="1">
        <v>45216.634027777778</v>
      </c>
      <c r="D249" t="s">
        <v>21</v>
      </c>
    </row>
    <row r="250" spans="1:4">
      <c r="A250" t="s">
        <v>6</v>
      </c>
      <c r="B250" t="s">
        <v>24</v>
      </c>
      <c r="C250" s="1">
        <v>45216.613194444442</v>
      </c>
      <c r="D250" t="s">
        <v>22</v>
      </c>
    </row>
    <row r="251" spans="1:4">
      <c r="A251" t="s">
        <v>5</v>
      </c>
      <c r="B251" t="s">
        <v>25</v>
      </c>
      <c r="C251" s="1">
        <v>45216.609027777777</v>
      </c>
      <c r="D251" t="s">
        <v>20</v>
      </c>
    </row>
    <row r="252" spans="1:4">
      <c r="A252" t="s">
        <v>9</v>
      </c>
      <c r="B252" t="s">
        <v>24</v>
      </c>
      <c r="C252" s="1">
        <v>45216.607638888891</v>
      </c>
      <c r="D252" t="s">
        <v>21</v>
      </c>
    </row>
    <row r="253" spans="1:4">
      <c r="A253" t="s">
        <v>9</v>
      </c>
      <c r="B253" t="s">
        <v>24</v>
      </c>
      <c r="C253" s="1">
        <v>45216.604166666664</v>
      </c>
      <c r="D253" t="s">
        <v>22</v>
      </c>
    </row>
    <row r="254" spans="1:4">
      <c r="A254" t="s">
        <v>1</v>
      </c>
      <c r="B254" t="s">
        <v>25</v>
      </c>
      <c r="C254" s="1">
        <v>45216.490277777775</v>
      </c>
      <c r="D254" t="s">
        <v>21</v>
      </c>
    </row>
    <row r="255" spans="1:4">
      <c r="A255" t="s">
        <v>7</v>
      </c>
      <c r="B255" t="s">
        <v>25</v>
      </c>
      <c r="C255" s="1">
        <v>45216.477777777778</v>
      </c>
      <c r="D255" t="s">
        <v>22</v>
      </c>
    </row>
    <row r="256" spans="1:4">
      <c r="A256" t="s">
        <v>5</v>
      </c>
      <c r="B256" t="s">
        <v>25</v>
      </c>
      <c r="C256" s="1">
        <v>45216.442361111112</v>
      </c>
      <c r="D256" t="s">
        <v>21</v>
      </c>
    </row>
    <row r="257" spans="1:4">
      <c r="A257" t="s">
        <v>5</v>
      </c>
      <c r="B257" t="s">
        <v>25</v>
      </c>
      <c r="C257" s="1">
        <v>45215.931250000001</v>
      </c>
      <c r="D257" t="s">
        <v>21</v>
      </c>
    </row>
    <row r="258" spans="1:4">
      <c r="A258" t="s">
        <v>3</v>
      </c>
      <c r="B258" t="s">
        <v>25</v>
      </c>
      <c r="C258" s="1">
        <v>45215.92083333333</v>
      </c>
      <c r="D258" t="s">
        <v>20</v>
      </c>
    </row>
    <row r="259" spans="1:4">
      <c r="A259" t="s">
        <v>6</v>
      </c>
      <c r="B259" t="s">
        <v>24</v>
      </c>
      <c r="C259" s="1">
        <v>45215.827777777777</v>
      </c>
      <c r="D259" t="s">
        <v>22</v>
      </c>
    </row>
    <row r="260" spans="1:4">
      <c r="A260" t="s">
        <v>6</v>
      </c>
      <c r="B260" t="s">
        <v>24</v>
      </c>
      <c r="C260" s="1">
        <v>45215.824999999997</v>
      </c>
      <c r="D260" t="s">
        <v>21</v>
      </c>
    </row>
    <row r="261" spans="1:4">
      <c r="A261" t="s">
        <v>6</v>
      </c>
      <c r="B261" t="s">
        <v>24</v>
      </c>
      <c r="C261" s="1">
        <v>45215.808333333334</v>
      </c>
      <c r="D261" t="s">
        <v>22</v>
      </c>
    </row>
    <row r="262" spans="1:4">
      <c r="A262" t="s">
        <v>5</v>
      </c>
      <c r="B262" t="s">
        <v>24</v>
      </c>
      <c r="C262" s="1">
        <v>45215.786805555559</v>
      </c>
      <c r="D262" t="s">
        <v>20</v>
      </c>
    </row>
    <row r="263" spans="1:4">
      <c r="A263" t="s">
        <v>5</v>
      </c>
      <c r="B263" t="s">
        <v>25</v>
      </c>
      <c r="C263" s="1">
        <v>45215.765277777777</v>
      </c>
      <c r="D263" t="s">
        <v>22</v>
      </c>
    </row>
    <row r="264" spans="1:4">
      <c r="A264" t="s">
        <v>12</v>
      </c>
      <c r="B264" t="s">
        <v>24</v>
      </c>
      <c r="C264" s="1">
        <v>45215.753472222219</v>
      </c>
      <c r="D264" t="s">
        <v>21</v>
      </c>
    </row>
    <row r="265" spans="1:4">
      <c r="A265" t="s">
        <v>5</v>
      </c>
      <c r="B265" t="s">
        <v>24</v>
      </c>
      <c r="C265" s="1">
        <v>45215.731944444444</v>
      </c>
      <c r="D265" t="s">
        <v>22</v>
      </c>
    </row>
    <row r="266" spans="1:4">
      <c r="A266" t="s">
        <v>12</v>
      </c>
      <c r="B266" t="s">
        <v>25</v>
      </c>
      <c r="C266" s="1">
        <v>45215.730555555558</v>
      </c>
      <c r="D266" t="s">
        <v>21</v>
      </c>
    </row>
    <row r="267" spans="1:4">
      <c r="A267" t="s">
        <v>10</v>
      </c>
      <c r="B267" t="s">
        <v>25</v>
      </c>
      <c r="C267" s="1">
        <v>45215.702777777777</v>
      </c>
      <c r="D267" t="s">
        <v>20</v>
      </c>
    </row>
    <row r="268" spans="1:4">
      <c r="A268" t="s">
        <v>3</v>
      </c>
      <c r="B268" t="s">
        <v>25</v>
      </c>
      <c r="C268" s="1">
        <v>45215.695138888892</v>
      </c>
      <c r="D268" t="s">
        <v>20</v>
      </c>
    </row>
    <row r="269" spans="1:4">
      <c r="A269" t="s">
        <v>1</v>
      </c>
      <c r="B269" t="s">
        <v>24</v>
      </c>
      <c r="C269" s="1">
        <v>45215.695138888892</v>
      </c>
      <c r="D269" t="s">
        <v>21</v>
      </c>
    </row>
    <row r="270" spans="1:4">
      <c r="A270" t="s">
        <v>11</v>
      </c>
      <c r="B270" t="s">
        <v>24</v>
      </c>
      <c r="C270" s="1">
        <v>45215.684027777781</v>
      </c>
      <c r="D270" t="s">
        <v>22</v>
      </c>
    </row>
    <row r="271" spans="1:4">
      <c r="A271" t="s">
        <v>5</v>
      </c>
      <c r="B271" t="s">
        <v>24</v>
      </c>
      <c r="C271" s="1">
        <v>45215.656944444447</v>
      </c>
      <c r="D271" t="s">
        <v>20</v>
      </c>
    </row>
    <row r="272" spans="1:4">
      <c r="A272" t="s">
        <v>11</v>
      </c>
      <c r="B272" t="s">
        <v>24</v>
      </c>
      <c r="C272" s="1">
        <v>45215.654861111114</v>
      </c>
      <c r="D272" t="s">
        <v>20</v>
      </c>
    </row>
    <row r="273" spans="1:4">
      <c r="A273" t="s">
        <v>5</v>
      </c>
      <c r="B273" t="s">
        <v>24</v>
      </c>
      <c r="C273" s="1">
        <v>45215.65347222222</v>
      </c>
      <c r="D273" t="s">
        <v>20</v>
      </c>
    </row>
    <row r="274" spans="1:4">
      <c r="A274" t="s">
        <v>5</v>
      </c>
      <c r="B274" t="s">
        <v>24</v>
      </c>
      <c r="C274" s="1">
        <v>45215.640972222223</v>
      </c>
      <c r="D274" t="s">
        <v>20</v>
      </c>
    </row>
    <row r="275" spans="1:4">
      <c r="A275" t="s">
        <v>5</v>
      </c>
      <c r="B275" t="s">
        <v>24</v>
      </c>
      <c r="C275" s="1">
        <v>45215.63958333333</v>
      </c>
      <c r="D275" t="s">
        <v>20</v>
      </c>
    </row>
    <row r="276" spans="1:4">
      <c r="A276" t="s">
        <v>5</v>
      </c>
      <c r="B276" t="s">
        <v>24</v>
      </c>
      <c r="C276" s="1">
        <v>45215.638194444444</v>
      </c>
      <c r="D276" t="s">
        <v>20</v>
      </c>
    </row>
    <row r="277" spans="1:4">
      <c r="A277" t="s">
        <v>9</v>
      </c>
      <c r="B277" t="s">
        <v>24</v>
      </c>
      <c r="C277" s="1">
        <v>45215.612500000003</v>
      </c>
      <c r="D277" t="s">
        <v>22</v>
      </c>
    </row>
    <row r="278" spans="1:4">
      <c r="A278" t="s">
        <v>6</v>
      </c>
      <c r="B278" t="s">
        <v>24</v>
      </c>
      <c r="C278" s="1">
        <v>45215.595833333333</v>
      </c>
      <c r="D278" t="s">
        <v>22</v>
      </c>
    </row>
    <row r="279" spans="1:4">
      <c r="A279" t="s">
        <v>3</v>
      </c>
      <c r="B279" t="s">
        <v>25</v>
      </c>
      <c r="C279" s="1">
        <v>45215.581944444442</v>
      </c>
      <c r="D279" t="s">
        <v>20</v>
      </c>
    </row>
    <row r="280" spans="1:4">
      <c r="A280" t="s">
        <v>3</v>
      </c>
      <c r="B280" t="s">
        <v>25</v>
      </c>
      <c r="C280" s="1">
        <v>45215.577777777777</v>
      </c>
      <c r="D280" t="s">
        <v>20</v>
      </c>
    </row>
    <row r="281" spans="1:4">
      <c r="A281" t="s">
        <v>11</v>
      </c>
      <c r="B281" t="s">
        <v>25</v>
      </c>
      <c r="C281" s="1">
        <v>45215.575694444444</v>
      </c>
      <c r="D281" t="s">
        <v>20</v>
      </c>
    </row>
    <row r="282" spans="1:4">
      <c r="A282" t="s">
        <v>1</v>
      </c>
      <c r="B282" t="s">
        <v>24</v>
      </c>
      <c r="C282" s="1">
        <v>45215.572916666664</v>
      </c>
      <c r="D282" t="s">
        <v>21</v>
      </c>
    </row>
    <row r="283" spans="1:4">
      <c r="A283" t="s">
        <v>5</v>
      </c>
      <c r="B283" t="s">
        <v>24</v>
      </c>
      <c r="C283" s="1">
        <v>45215.513194444444</v>
      </c>
      <c r="D283" t="s">
        <v>20</v>
      </c>
    </row>
    <row r="284" spans="1:4">
      <c r="A284" t="s">
        <v>10</v>
      </c>
      <c r="B284" t="s">
        <v>25</v>
      </c>
      <c r="C284" s="1">
        <v>45215.465277777781</v>
      </c>
      <c r="D284" t="s">
        <v>20</v>
      </c>
    </row>
    <row r="285" spans="1:4">
      <c r="A285" t="s">
        <v>10</v>
      </c>
      <c r="B285" t="s">
        <v>25</v>
      </c>
      <c r="C285" s="1">
        <v>45215.334027777775</v>
      </c>
      <c r="D285" t="s">
        <v>21</v>
      </c>
    </row>
    <row r="286" spans="1:4">
      <c r="A286" t="s">
        <v>11</v>
      </c>
      <c r="B286" t="s">
        <v>25</v>
      </c>
      <c r="C286" s="1">
        <v>45215.106249999997</v>
      </c>
      <c r="D286" t="s">
        <v>22</v>
      </c>
    </row>
    <row r="287" spans="1:4">
      <c r="A287" t="s">
        <v>5</v>
      </c>
      <c r="B287" t="s">
        <v>25</v>
      </c>
      <c r="C287" s="1">
        <v>45215.097222222219</v>
      </c>
      <c r="D287" t="s">
        <v>20</v>
      </c>
    </row>
    <row r="288" spans="1:4">
      <c r="A288" t="s">
        <v>11</v>
      </c>
      <c r="B288" t="s">
        <v>25</v>
      </c>
      <c r="C288" s="1">
        <v>45214.918055555558</v>
      </c>
      <c r="D288" t="s">
        <v>20</v>
      </c>
    </row>
    <row r="289" spans="1:4">
      <c r="A289" t="s">
        <v>5</v>
      </c>
      <c r="B289" t="s">
        <v>24</v>
      </c>
      <c r="C289" s="1">
        <v>45214.759027777778</v>
      </c>
      <c r="D289" t="s">
        <v>20</v>
      </c>
    </row>
    <row r="290" spans="1:4">
      <c r="A290" t="s">
        <v>9</v>
      </c>
      <c r="B290" t="s">
        <v>25</v>
      </c>
      <c r="C290" s="1">
        <v>45214.540972222225</v>
      </c>
      <c r="D290" t="s">
        <v>20</v>
      </c>
    </row>
    <row r="291" spans="1:4">
      <c r="A291" t="s">
        <v>5</v>
      </c>
      <c r="B291" t="s">
        <v>25</v>
      </c>
      <c r="C291" s="1">
        <v>45213.9375</v>
      </c>
      <c r="D291" t="s">
        <v>22</v>
      </c>
    </row>
    <row r="292" spans="1:4">
      <c r="A292" t="s">
        <v>11</v>
      </c>
      <c r="B292" t="s">
        <v>25</v>
      </c>
      <c r="C292" s="1">
        <v>45213.834027777775</v>
      </c>
      <c r="D292" t="s">
        <v>22</v>
      </c>
    </row>
    <row r="293" spans="1:4">
      <c r="A293" t="s">
        <v>7</v>
      </c>
      <c r="B293" t="s">
        <v>24</v>
      </c>
      <c r="C293" s="1">
        <v>45213.714583333334</v>
      </c>
      <c r="D293" t="s">
        <v>21</v>
      </c>
    </row>
    <row r="294" spans="1:4">
      <c r="A294" t="s">
        <v>5</v>
      </c>
      <c r="B294" t="s">
        <v>24</v>
      </c>
      <c r="C294" s="1">
        <v>45213.700694444444</v>
      </c>
      <c r="D294" t="s">
        <v>20</v>
      </c>
    </row>
    <row r="295" spans="1:4">
      <c r="A295" t="s">
        <v>5</v>
      </c>
      <c r="B295" t="s">
        <v>25</v>
      </c>
      <c r="C295" s="1">
        <v>45213.635416666664</v>
      </c>
      <c r="D295" t="s">
        <v>20</v>
      </c>
    </row>
    <row r="296" spans="1:4">
      <c r="A296" t="s">
        <v>7</v>
      </c>
      <c r="B296" t="s">
        <v>24</v>
      </c>
      <c r="C296" s="1">
        <v>45213.539583333331</v>
      </c>
      <c r="D296" t="s">
        <v>22</v>
      </c>
    </row>
    <row r="297" spans="1:4">
      <c r="A297" t="s">
        <v>6</v>
      </c>
      <c r="B297" t="s">
        <v>24</v>
      </c>
      <c r="C297" s="1">
        <v>45212.873611111114</v>
      </c>
      <c r="D297" t="s">
        <v>22</v>
      </c>
    </row>
    <row r="298" spans="1:4">
      <c r="A298" t="s">
        <v>9</v>
      </c>
      <c r="B298" t="s">
        <v>25</v>
      </c>
      <c r="C298" s="1">
        <v>45212.752083333333</v>
      </c>
      <c r="D298" t="s">
        <v>21</v>
      </c>
    </row>
    <row r="299" spans="1:4">
      <c r="A299" t="s">
        <v>5</v>
      </c>
      <c r="B299" t="s">
        <v>25</v>
      </c>
      <c r="C299" s="1">
        <v>45212.725694444445</v>
      </c>
      <c r="D299" t="s">
        <v>21</v>
      </c>
    </row>
    <row r="300" spans="1:4">
      <c r="A300" t="s">
        <v>3</v>
      </c>
      <c r="B300" t="s">
        <v>24</v>
      </c>
      <c r="C300" s="1">
        <v>45212.720833333333</v>
      </c>
      <c r="D300" t="s">
        <v>20</v>
      </c>
    </row>
    <row r="301" spans="1:4">
      <c r="A301" t="s">
        <v>11</v>
      </c>
      <c r="B301" t="s">
        <v>25</v>
      </c>
      <c r="C301" s="1">
        <v>45212.713194444441</v>
      </c>
      <c r="D301" t="s">
        <v>20</v>
      </c>
    </row>
    <row r="302" spans="1:4">
      <c r="A302" t="s">
        <v>5</v>
      </c>
      <c r="B302" t="s">
        <v>24</v>
      </c>
      <c r="C302" s="1">
        <v>45212.689583333333</v>
      </c>
      <c r="D302" t="s">
        <v>21</v>
      </c>
    </row>
    <row r="303" spans="1:4">
      <c r="A303" t="s">
        <v>5</v>
      </c>
      <c r="B303" t="s">
        <v>24</v>
      </c>
      <c r="C303" s="1">
        <v>45212.688888888886</v>
      </c>
      <c r="D303" t="s">
        <v>21</v>
      </c>
    </row>
    <row r="304" spans="1:4">
      <c r="A304" t="s">
        <v>5</v>
      </c>
      <c r="B304" t="s">
        <v>24</v>
      </c>
      <c r="C304" s="1">
        <v>45212.688194444447</v>
      </c>
      <c r="D304" t="s">
        <v>21</v>
      </c>
    </row>
    <row r="305" spans="1:4">
      <c r="A305" t="s">
        <v>5</v>
      </c>
      <c r="B305" t="s">
        <v>24</v>
      </c>
      <c r="C305" s="1">
        <v>45212.688194444447</v>
      </c>
      <c r="D305" t="s">
        <v>21</v>
      </c>
    </row>
    <row r="306" spans="1:4">
      <c r="A306" t="s">
        <v>5</v>
      </c>
      <c r="B306" t="s">
        <v>24</v>
      </c>
      <c r="C306" s="1">
        <v>45212.6875</v>
      </c>
      <c r="D306" t="s">
        <v>21</v>
      </c>
    </row>
    <row r="307" spans="1:4">
      <c r="A307" t="s">
        <v>5</v>
      </c>
      <c r="B307" t="s">
        <v>24</v>
      </c>
      <c r="C307" s="1">
        <v>45212.686805555553</v>
      </c>
      <c r="D307" t="s">
        <v>21</v>
      </c>
    </row>
    <row r="308" spans="1:4">
      <c r="A308" t="s">
        <v>5</v>
      </c>
      <c r="B308" t="s">
        <v>24</v>
      </c>
      <c r="C308" s="1">
        <v>45212.686111111114</v>
      </c>
      <c r="D308" t="s">
        <v>21</v>
      </c>
    </row>
    <row r="309" spans="1:4">
      <c r="A309" t="s">
        <v>5</v>
      </c>
      <c r="B309" t="s">
        <v>24</v>
      </c>
      <c r="C309" s="1">
        <v>45212.685416666667</v>
      </c>
      <c r="D309" t="s">
        <v>21</v>
      </c>
    </row>
    <row r="310" spans="1:4">
      <c r="A310" t="s">
        <v>5</v>
      </c>
      <c r="B310" t="s">
        <v>24</v>
      </c>
      <c r="C310" s="1">
        <v>45212.68472222222</v>
      </c>
      <c r="D310" t="s">
        <v>21</v>
      </c>
    </row>
    <row r="311" spans="1:4">
      <c r="A311" t="s">
        <v>5</v>
      </c>
      <c r="B311" t="s">
        <v>24</v>
      </c>
      <c r="C311" s="1">
        <v>45212.684027777781</v>
      </c>
      <c r="D311" t="s">
        <v>21</v>
      </c>
    </row>
    <row r="312" spans="1:4">
      <c r="A312" t="s">
        <v>11</v>
      </c>
      <c r="B312" t="s">
        <v>24</v>
      </c>
      <c r="C312" s="1">
        <v>45212.679861111108</v>
      </c>
      <c r="D312" t="s">
        <v>20</v>
      </c>
    </row>
    <row r="313" spans="1:4">
      <c r="A313" t="s">
        <v>9</v>
      </c>
      <c r="B313" t="s">
        <v>25</v>
      </c>
      <c r="C313" s="1">
        <v>45212.634722222225</v>
      </c>
      <c r="D313" t="s">
        <v>22</v>
      </c>
    </row>
    <row r="314" spans="1:4">
      <c r="A314" t="s">
        <v>6</v>
      </c>
      <c r="B314" t="s">
        <v>24</v>
      </c>
      <c r="C314" s="1">
        <v>45212.630555555559</v>
      </c>
      <c r="D314" t="s">
        <v>22</v>
      </c>
    </row>
    <row r="315" spans="1:4">
      <c r="A315" t="s">
        <v>10</v>
      </c>
      <c r="B315" t="s">
        <v>24</v>
      </c>
      <c r="C315" s="1">
        <v>45212.563194444447</v>
      </c>
      <c r="D315" t="s">
        <v>21</v>
      </c>
    </row>
    <row r="316" spans="1:4">
      <c r="A316" t="s">
        <v>10</v>
      </c>
      <c r="B316" t="s">
        <v>25</v>
      </c>
      <c r="C316" s="1">
        <v>45212.547222222223</v>
      </c>
      <c r="D316" t="s">
        <v>20</v>
      </c>
    </row>
    <row r="317" spans="1:4">
      <c r="A317" t="s">
        <v>10</v>
      </c>
      <c r="B317" t="s">
        <v>25</v>
      </c>
      <c r="C317" s="1">
        <v>45212.546527777777</v>
      </c>
      <c r="D317" t="s">
        <v>21</v>
      </c>
    </row>
    <row r="318" spans="1:4">
      <c r="A318" t="s">
        <v>5</v>
      </c>
      <c r="B318" t="s">
        <v>24</v>
      </c>
      <c r="C318" s="1">
        <v>45212.468055555553</v>
      </c>
      <c r="D318" t="s">
        <v>20</v>
      </c>
    </row>
    <row r="319" spans="1:4">
      <c r="A319" t="s">
        <v>10</v>
      </c>
      <c r="B319" t="s">
        <v>24</v>
      </c>
      <c r="C319" s="1">
        <v>45212.411111111112</v>
      </c>
      <c r="D319" t="s">
        <v>21</v>
      </c>
    </row>
    <row r="320" spans="1:4">
      <c r="A320" t="s">
        <v>11</v>
      </c>
      <c r="B320" t="s">
        <v>24</v>
      </c>
      <c r="C320" s="1">
        <v>45212.035416666666</v>
      </c>
      <c r="D320" t="s">
        <v>20</v>
      </c>
    </row>
    <row r="321" spans="1:4">
      <c r="A321" t="s">
        <v>5</v>
      </c>
      <c r="B321" t="s">
        <v>25</v>
      </c>
      <c r="C321" s="1">
        <v>45211.941666666666</v>
      </c>
      <c r="D321" t="s">
        <v>21</v>
      </c>
    </row>
    <row r="322" spans="1:4">
      <c r="A322" t="s">
        <v>10</v>
      </c>
      <c r="B322" t="s">
        <v>25</v>
      </c>
      <c r="C322" s="1">
        <v>45211.894444444442</v>
      </c>
      <c r="D322" t="s">
        <v>21</v>
      </c>
    </row>
    <row r="323" spans="1:4">
      <c r="A323" t="s">
        <v>5</v>
      </c>
      <c r="B323" t="s">
        <v>25</v>
      </c>
      <c r="C323" s="1">
        <v>45211.859722222223</v>
      </c>
      <c r="D323" t="s">
        <v>22</v>
      </c>
    </row>
    <row r="324" spans="1:4">
      <c r="A324" t="s">
        <v>11</v>
      </c>
      <c r="B324" t="s">
        <v>25</v>
      </c>
      <c r="C324" s="1">
        <v>45211.829861111109</v>
      </c>
      <c r="D324" t="s">
        <v>22</v>
      </c>
    </row>
    <row r="325" spans="1:4">
      <c r="A325" t="s">
        <v>7</v>
      </c>
      <c r="B325" t="s">
        <v>25</v>
      </c>
      <c r="C325" s="1">
        <v>45211.808333333334</v>
      </c>
      <c r="D325" t="s">
        <v>21</v>
      </c>
    </row>
    <row r="326" spans="1:4">
      <c r="A326" t="s">
        <v>7</v>
      </c>
      <c r="B326" t="s">
        <v>25</v>
      </c>
      <c r="C326" s="1">
        <v>45211.806250000001</v>
      </c>
      <c r="D326" t="s">
        <v>22</v>
      </c>
    </row>
    <row r="327" spans="1:4">
      <c r="A327" t="s">
        <v>10</v>
      </c>
      <c r="B327" t="s">
        <v>24</v>
      </c>
      <c r="C327" s="1">
        <v>45211.681944444441</v>
      </c>
      <c r="D327" t="s">
        <v>21</v>
      </c>
    </row>
    <row r="328" spans="1:4">
      <c r="A328" t="s">
        <v>11</v>
      </c>
      <c r="B328" t="s">
        <v>25</v>
      </c>
      <c r="C328" s="1">
        <v>45211.680555555555</v>
      </c>
      <c r="D328" t="s">
        <v>22</v>
      </c>
    </row>
    <row r="329" spans="1:4">
      <c r="A329" t="s">
        <v>6</v>
      </c>
      <c r="B329" t="s">
        <v>24</v>
      </c>
      <c r="C329" s="1">
        <v>45211.669444444444</v>
      </c>
      <c r="D329" t="s">
        <v>21</v>
      </c>
    </row>
    <row r="330" spans="1:4">
      <c r="A330" t="s">
        <v>10</v>
      </c>
      <c r="B330" t="s">
        <v>24</v>
      </c>
      <c r="C330" s="1">
        <v>45211.658333333333</v>
      </c>
      <c r="D330" t="s">
        <v>22</v>
      </c>
    </row>
    <row r="331" spans="1:4">
      <c r="A331" t="s">
        <v>5</v>
      </c>
      <c r="B331" t="s">
        <v>24</v>
      </c>
      <c r="C331" s="1">
        <v>45211.621527777781</v>
      </c>
      <c r="D331" t="s">
        <v>21</v>
      </c>
    </row>
    <row r="332" spans="1:4">
      <c r="A332" t="s">
        <v>5</v>
      </c>
      <c r="B332" t="s">
        <v>24</v>
      </c>
      <c r="C332" s="1">
        <v>45211.614583333336</v>
      </c>
      <c r="D332" t="s">
        <v>21</v>
      </c>
    </row>
    <row r="333" spans="1:4">
      <c r="A333" t="s">
        <v>5</v>
      </c>
      <c r="B333" t="s">
        <v>24</v>
      </c>
      <c r="C333" s="1">
        <v>45211.572222222225</v>
      </c>
      <c r="D333" t="s">
        <v>21</v>
      </c>
    </row>
    <row r="334" spans="1:4">
      <c r="A334" t="s">
        <v>9</v>
      </c>
      <c r="B334" t="s">
        <v>25</v>
      </c>
      <c r="C334" s="1">
        <v>45211.571527777778</v>
      </c>
      <c r="D334" t="s">
        <v>22</v>
      </c>
    </row>
    <row r="335" spans="1:4">
      <c r="A335" t="s">
        <v>5</v>
      </c>
      <c r="B335" t="s">
        <v>25</v>
      </c>
      <c r="C335" s="1">
        <v>45211.570833333331</v>
      </c>
      <c r="D335" t="s">
        <v>22</v>
      </c>
    </row>
    <row r="336" spans="1:4">
      <c r="A336" t="s">
        <v>3</v>
      </c>
      <c r="B336" t="s">
        <v>24</v>
      </c>
      <c r="C336" s="1">
        <v>45211.539583333331</v>
      </c>
      <c r="D336" t="s">
        <v>20</v>
      </c>
    </row>
    <row r="337" spans="1:4">
      <c r="A337" t="s">
        <v>9</v>
      </c>
      <c r="B337" t="s">
        <v>25</v>
      </c>
      <c r="C337" s="1">
        <v>45211.526388888888</v>
      </c>
      <c r="D337" t="s">
        <v>20</v>
      </c>
    </row>
    <row r="338" spans="1:4">
      <c r="A338" t="s">
        <v>10</v>
      </c>
      <c r="B338" t="s">
        <v>24</v>
      </c>
      <c r="C338" s="1">
        <v>45211.510416666664</v>
      </c>
      <c r="D338" t="s">
        <v>20</v>
      </c>
    </row>
    <row r="339" spans="1:4">
      <c r="A339" t="s">
        <v>7</v>
      </c>
      <c r="B339" t="s">
        <v>24</v>
      </c>
      <c r="C339" s="1">
        <v>45211.489583333336</v>
      </c>
      <c r="D339" t="s">
        <v>22</v>
      </c>
    </row>
    <row r="340" spans="1:4">
      <c r="A340" t="s">
        <v>5</v>
      </c>
      <c r="B340" t="s">
        <v>24</v>
      </c>
      <c r="C340" s="1">
        <v>45211.47152777778</v>
      </c>
      <c r="D340" t="s">
        <v>20</v>
      </c>
    </row>
    <row r="341" spans="1:4">
      <c r="A341" t="s">
        <v>5</v>
      </c>
      <c r="B341" t="s">
        <v>24</v>
      </c>
      <c r="C341" s="1">
        <v>45211.334722222222</v>
      </c>
      <c r="D341" t="s">
        <v>22</v>
      </c>
    </row>
    <row r="342" spans="1:4">
      <c r="A342" t="s">
        <v>6</v>
      </c>
      <c r="B342" t="s">
        <v>24</v>
      </c>
      <c r="C342" s="1">
        <v>45211.082638888889</v>
      </c>
      <c r="D342" t="s">
        <v>22</v>
      </c>
    </row>
    <row r="343" spans="1:4">
      <c r="A343" t="s">
        <v>9</v>
      </c>
      <c r="B343" t="s">
        <v>24</v>
      </c>
      <c r="C343" s="1">
        <v>45210.904861111114</v>
      </c>
      <c r="D343" t="s">
        <v>22</v>
      </c>
    </row>
    <row r="344" spans="1:4">
      <c r="A344" t="s">
        <v>5</v>
      </c>
      <c r="B344" t="s">
        <v>25</v>
      </c>
      <c r="C344" s="1">
        <v>45210.896527777775</v>
      </c>
      <c r="D344" t="s">
        <v>20</v>
      </c>
    </row>
    <row r="345" spans="1:4">
      <c r="A345" t="s">
        <v>11</v>
      </c>
      <c r="B345" t="s">
        <v>25</v>
      </c>
      <c r="C345" s="1">
        <v>45210.873611111114</v>
      </c>
      <c r="D345" t="s">
        <v>22</v>
      </c>
    </row>
    <row r="346" spans="1:4">
      <c r="A346" t="s">
        <v>7</v>
      </c>
      <c r="B346" t="s">
        <v>25</v>
      </c>
      <c r="C346" s="1">
        <v>45210.824305555558</v>
      </c>
      <c r="D346" t="s">
        <v>21</v>
      </c>
    </row>
    <row r="347" spans="1:4">
      <c r="A347" t="s">
        <v>9</v>
      </c>
      <c r="B347" t="s">
        <v>25</v>
      </c>
      <c r="C347" s="1">
        <v>45210.779861111114</v>
      </c>
      <c r="D347" t="s">
        <v>22</v>
      </c>
    </row>
    <row r="348" spans="1:4">
      <c r="A348" t="s">
        <v>3</v>
      </c>
      <c r="B348" t="s">
        <v>25</v>
      </c>
      <c r="C348" s="1">
        <v>45210.775000000001</v>
      </c>
      <c r="D348" t="s">
        <v>20</v>
      </c>
    </row>
    <row r="349" spans="1:4">
      <c r="A349" t="s">
        <v>11</v>
      </c>
      <c r="B349" t="s">
        <v>25</v>
      </c>
      <c r="C349" s="1">
        <v>45210.727083333331</v>
      </c>
      <c r="D349" t="s">
        <v>22</v>
      </c>
    </row>
    <row r="350" spans="1:4">
      <c r="A350" t="s">
        <v>5</v>
      </c>
      <c r="B350" t="s">
        <v>24</v>
      </c>
      <c r="C350" s="1">
        <v>45210.720833333333</v>
      </c>
      <c r="D350" t="s">
        <v>20</v>
      </c>
    </row>
    <row r="351" spans="1:4">
      <c r="A351" t="s">
        <v>5</v>
      </c>
      <c r="B351" t="s">
        <v>24</v>
      </c>
      <c r="C351" s="1">
        <v>45210.686805555553</v>
      </c>
      <c r="D351" t="s">
        <v>21</v>
      </c>
    </row>
    <row r="352" spans="1:4">
      <c r="A352" t="s">
        <v>10</v>
      </c>
      <c r="B352" t="s">
        <v>25</v>
      </c>
      <c r="C352" s="1">
        <v>45210.652777777781</v>
      </c>
      <c r="D352" t="s">
        <v>21</v>
      </c>
    </row>
    <row r="353" spans="1:4">
      <c r="A353" t="s">
        <v>6</v>
      </c>
      <c r="B353" t="s">
        <v>24</v>
      </c>
      <c r="C353" s="1">
        <v>45210.652777777781</v>
      </c>
      <c r="D353" t="s">
        <v>20</v>
      </c>
    </row>
    <row r="354" spans="1:4">
      <c r="A354" t="s">
        <v>11</v>
      </c>
      <c r="B354" t="s">
        <v>25</v>
      </c>
      <c r="C354" s="1">
        <v>45210.646527777775</v>
      </c>
      <c r="D354" t="s">
        <v>22</v>
      </c>
    </row>
    <row r="355" spans="1:4">
      <c r="A355" t="s">
        <v>7</v>
      </c>
      <c r="B355" t="s">
        <v>24</v>
      </c>
      <c r="C355" s="1">
        <v>45210.643055555556</v>
      </c>
      <c r="D355" t="s">
        <v>21</v>
      </c>
    </row>
    <row r="356" spans="1:4">
      <c r="A356" t="s">
        <v>5</v>
      </c>
      <c r="B356" t="s">
        <v>25</v>
      </c>
      <c r="C356" s="1">
        <v>45210.600694444445</v>
      </c>
      <c r="D356" t="s">
        <v>20</v>
      </c>
    </row>
    <row r="357" spans="1:4">
      <c r="A357" t="s">
        <v>10</v>
      </c>
      <c r="B357" t="s">
        <v>24</v>
      </c>
      <c r="C357" s="1">
        <v>45210.538194444445</v>
      </c>
      <c r="D357" t="s">
        <v>22</v>
      </c>
    </row>
    <row r="358" spans="1:4">
      <c r="A358" t="s">
        <v>7</v>
      </c>
      <c r="B358" t="s">
        <v>24</v>
      </c>
      <c r="C358" s="1">
        <v>45210.494444444441</v>
      </c>
      <c r="D358" t="s">
        <v>22</v>
      </c>
    </row>
    <row r="359" spans="1:4">
      <c r="A359" t="s">
        <v>11</v>
      </c>
      <c r="B359" t="s">
        <v>24</v>
      </c>
      <c r="C359" s="1">
        <v>45210.479166666664</v>
      </c>
      <c r="D359" t="s">
        <v>21</v>
      </c>
    </row>
    <row r="360" spans="1:4">
      <c r="A360" t="s">
        <v>5</v>
      </c>
      <c r="B360" t="s">
        <v>24</v>
      </c>
      <c r="C360" s="1">
        <v>45210.477083333331</v>
      </c>
      <c r="D360" t="s">
        <v>21</v>
      </c>
    </row>
    <row r="361" spans="1:4">
      <c r="A361" t="s">
        <v>6</v>
      </c>
      <c r="B361" t="s">
        <v>24</v>
      </c>
      <c r="C361" s="1">
        <v>45210.042361111111</v>
      </c>
      <c r="D361" t="s">
        <v>22</v>
      </c>
    </row>
    <row r="362" spans="1:4">
      <c r="A362" t="s">
        <v>6</v>
      </c>
      <c r="B362" t="s">
        <v>24</v>
      </c>
      <c r="C362" s="1">
        <v>45210.019444444442</v>
      </c>
      <c r="D362" t="s">
        <v>22</v>
      </c>
    </row>
    <row r="363" spans="1:4">
      <c r="A363" t="s">
        <v>12</v>
      </c>
      <c r="B363" t="s">
        <v>25</v>
      </c>
      <c r="C363" s="1">
        <v>45209.8</v>
      </c>
      <c r="D363" t="s">
        <v>21</v>
      </c>
    </row>
    <row r="364" spans="1:4">
      <c r="A364" t="s">
        <v>11</v>
      </c>
      <c r="B364" t="s">
        <v>25</v>
      </c>
      <c r="C364" s="1">
        <v>45209.793055555558</v>
      </c>
      <c r="D364" t="s">
        <v>20</v>
      </c>
    </row>
    <row r="365" spans="1:4">
      <c r="A365" t="s">
        <v>11</v>
      </c>
      <c r="B365" t="s">
        <v>25</v>
      </c>
      <c r="C365" s="1">
        <v>45209.790972222225</v>
      </c>
      <c r="D365" t="s">
        <v>22</v>
      </c>
    </row>
    <row r="366" spans="1:4">
      <c r="A366" t="s">
        <v>5</v>
      </c>
      <c r="B366" t="s">
        <v>25</v>
      </c>
      <c r="C366" s="1">
        <v>45209.777083333334</v>
      </c>
      <c r="D366" t="s">
        <v>21</v>
      </c>
    </row>
    <row r="367" spans="1:4">
      <c r="A367" t="s">
        <v>5</v>
      </c>
      <c r="B367" t="s">
        <v>25</v>
      </c>
      <c r="C367" s="1">
        <v>45209.755555555559</v>
      </c>
      <c r="D367" t="s">
        <v>20</v>
      </c>
    </row>
    <row r="368" spans="1:4">
      <c r="A368" t="s">
        <v>11</v>
      </c>
      <c r="B368" t="s">
        <v>25</v>
      </c>
      <c r="C368" s="1">
        <v>45209.747916666667</v>
      </c>
      <c r="D368" t="s">
        <v>21</v>
      </c>
    </row>
    <row r="369" spans="1:4">
      <c r="A369" t="s">
        <v>10</v>
      </c>
      <c r="B369" t="s">
        <v>25</v>
      </c>
      <c r="C369" s="1">
        <v>45209.732638888891</v>
      </c>
      <c r="D369" t="s">
        <v>20</v>
      </c>
    </row>
    <row r="370" spans="1:4">
      <c r="A370" t="s">
        <v>9</v>
      </c>
      <c r="B370" t="s">
        <v>25</v>
      </c>
      <c r="C370" s="1">
        <v>45209.731944444444</v>
      </c>
      <c r="D370" t="s">
        <v>21</v>
      </c>
    </row>
    <row r="371" spans="1:4">
      <c r="A371" t="s">
        <v>11</v>
      </c>
      <c r="B371" t="s">
        <v>24</v>
      </c>
      <c r="C371" s="1">
        <v>45209.698611111111</v>
      </c>
      <c r="D371" t="s">
        <v>20</v>
      </c>
    </row>
    <row r="372" spans="1:4">
      <c r="A372" t="s">
        <v>7</v>
      </c>
      <c r="B372" t="s">
        <v>24</v>
      </c>
      <c r="C372" s="1">
        <v>45209.666666666664</v>
      </c>
      <c r="D372" t="s">
        <v>21</v>
      </c>
    </row>
    <row r="373" spans="1:4">
      <c r="A373" t="s">
        <v>11</v>
      </c>
      <c r="B373" t="s">
        <v>25</v>
      </c>
      <c r="C373" s="1">
        <v>45209.654166666667</v>
      </c>
      <c r="D373" t="s">
        <v>22</v>
      </c>
    </row>
    <row r="374" spans="1:4">
      <c r="A374" t="s">
        <v>5</v>
      </c>
      <c r="B374" t="s">
        <v>25</v>
      </c>
      <c r="C374" s="1">
        <v>45209.63958333333</v>
      </c>
      <c r="D374" t="s">
        <v>20</v>
      </c>
    </row>
    <row r="375" spans="1:4">
      <c r="A375" t="s">
        <v>3</v>
      </c>
      <c r="B375" t="s">
        <v>25</v>
      </c>
      <c r="C375" s="1">
        <v>45209.638888888891</v>
      </c>
      <c r="D375" t="s">
        <v>20</v>
      </c>
    </row>
    <row r="376" spans="1:4">
      <c r="A376" t="s">
        <v>3</v>
      </c>
      <c r="B376" t="s">
        <v>25</v>
      </c>
      <c r="C376" s="1">
        <v>45209.591666666667</v>
      </c>
      <c r="D376" t="s">
        <v>20</v>
      </c>
    </row>
    <row r="377" spans="1:4">
      <c r="A377" t="s">
        <v>5</v>
      </c>
      <c r="B377" t="s">
        <v>25</v>
      </c>
      <c r="C377" s="1">
        <v>45209.578472222223</v>
      </c>
      <c r="D377" t="s">
        <v>21</v>
      </c>
    </row>
    <row r="378" spans="1:4">
      <c r="A378" t="s">
        <v>5</v>
      </c>
      <c r="B378" t="s">
        <v>24</v>
      </c>
      <c r="C378" s="1">
        <v>45209.536805555559</v>
      </c>
      <c r="D378" t="s">
        <v>21</v>
      </c>
    </row>
    <row r="379" spans="1:4">
      <c r="A379" t="s">
        <v>10</v>
      </c>
      <c r="B379" t="s">
        <v>24</v>
      </c>
      <c r="C379" s="1">
        <v>45209.156944444447</v>
      </c>
      <c r="D379" t="s">
        <v>20</v>
      </c>
    </row>
    <row r="380" spans="1:4">
      <c r="A380" t="s">
        <v>10</v>
      </c>
      <c r="B380" t="s">
        <v>24</v>
      </c>
      <c r="C380" s="1">
        <v>45208.927777777775</v>
      </c>
      <c r="D380" t="s">
        <v>21</v>
      </c>
    </row>
    <row r="381" spans="1:4">
      <c r="A381" t="s">
        <v>11</v>
      </c>
      <c r="B381" t="s">
        <v>25</v>
      </c>
      <c r="C381" s="1">
        <v>45208.824999999997</v>
      </c>
      <c r="D381" t="s">
        <v>20</v>
      </c>
    </row>
    <row r="382" spans="1:4">
      <c r="A382" t="s">
        <v>11</v>
      </c>
      <c r="B382" t="s">
        <v>24</v>
      </c>
      <c r="C382" s="1">
        <v>45208.810416666667</v>
      </c>
      <c r="D382" t="s">
        <v>20</v>
      </c>
    </row>
    <row r="383" spans="1:4">
      <c r="A383" t="s">
        <v>11</v>
      </c>
      <c r="B383" t="s">
        <v>25</v>
      </c>
      <c r="C383" s="1">
        <v>45208.731944444444</v>
      </c>
      <c r="D383" t="s">
        <v>22</v>
      </c>
    </row>
    <row r="384" spans="1:4">
      <c r="A384" t="s">
        <v>9</v>
      </c>
      <c r="B384" t="s">
        <v>25</v>
      </c>
      <c r="C384" s="1">
        <v>45208.714583333334</v>
      </c>
      <c r="D384" t="s">
        <v>21</v>
      </c>
    </row>
    <row r="385" spans="1:4">
      <c r="A385" t="s">
        <v>5</v>
      </c>
      <c r="B385" t="s">
        <v>25</v>
      </c>
      <c r="C385" s="1">
        <v>45208.637499999997</v>
      </c>
      <c r="D385" t="s">
        <v>20</v>
      </c>
    </row>
    <row r="386" spans="1:4">
      <c r="A386" t="s">
        <v>5</v>
      </c>
      <c r="B386" t="s">
        <v>24</v>
      </c>
      <c r="C386" s="1">
        <v>45208.618750000001</v>
      </c>
      <c r="D386" t="s">
        <v>22</v>
      </c>
    </row>
    <row r="387" spans="1:4">
      <c r="A387" t="s">
        <v>5</v>
      </c>
      <c r="B387" t="s">
        <v>24</v>
      </c>
      <c r="C387" s="1">
        <v>45208.598611111112</v>
      </c>
      <c r="D387" t="s">
        <v>22</v>
      </c>
    </row>
    <row r="388" spans="1:4">
      <c r="A388" t="s">
        <v>9</v>
      </c>
      <c r="B388" t="s">
        <v>25</v>
      </c>
      <c r="C388" s="1">
        <v>45208.590277777781</v>
      </c>
      <c r="D388" t="s">
        <v>21</v>
      </c>
    </row>
    <row r="389" spans="1:4">
      <c r="A389" t="s">
        <v>11</v>
      </c>
      <c r="B389" t="s">
        <v>24</v>
      </c>
      <c r="C389" s="1">
        <v>45208.583333333336</v>
      </c>
      <c r="D389" t="s">
        <v>21</v>
      </c>
    </row>
    <row r="390" spans="1:4">
      <c r="A390" t="s">
        <v>9</v>
      </c>
      <c r="B390" t="s">
        <v>24</v>
      </c>
      <c r="C390" s="1">
        <v>45208.574305555558</v>
      </c>
      <c r="D390" t="s">
        <v>21</v>
      </c>
    </row>
    <row r="391" spans="1:4">
      <c r="A391" t="s">
        <v>7</v>
      </c>
      <c r="B391" t="s">
        <v>24</v>
      </c>
      <c r="C391" s="1">
        <v>45208.538888888892</v>
      </c>
      <c r="D391" t="s">
        <v>21</v>
      </c>
    </row>
    <row r="392" spans="1:4">
      <c r="A392" t="s">
        <v>5</v>
      </c>
      <c r="B392" t="s">
        <v>24</v>
      </c>
      <c r="C392" s="1">
        <v>45208.509027777778</v>
      </c>
      <c r="D392" t="s">
        <v>22</v>
      </c>
    </row>
    <row r="393" spans="1:4">
      <c r="A393" t="s">
        <v>10</v>
      </c>
      <c r="B393" t="s">
        <v>24</v>
      </c>
      <c r="C393" s="1">
        <v>45208.46875</v>
      </c>
      <c r="D393" t="s">
        <v>20</v>
      </c>
    </row>
    <row r="394" spans="1:4">
      <c r="A394" t="s">
        <v>11</v>
      </c>
      <c r="B394" t="s">
        <v>25</v>
      </c>
      <c r="C394" s="1">
        <v>45208.19027777778</v>
      </c>
      <c r="D394" t="s">
        <v>22</v>
      </c>
    </row>
    <row r="395" spans="1:4">
      <c r="A395" t="s">
        <v>5</v>
      </c>
      <c r="B395" t="s">
        <v>25</v>
      </c>
      <c r="C395" s="1">
        <v>45208.186111111114</v>
      </c>
      <c r="D395" t="s">
        <v>20</v>
      </c>
    </row>
    <row r="396" spans="1:4">
      <c r="A396" t="s">
        <v>11</v>
      </c>
      <c r="B396" t="s">
        <v>25</v>
      </c>
      <c r="C396" s="1">
        <v>45207.980555555558</v>
      </c>
      <c r="D396" t="s">
        <v>22</v>
      </c>
    </row>
    <row r="397" spans="1:4">
      <c r="A397" t="s">
        <v>11</v>
      </c>
      <c r="B397" t="s">
        <v>25</v>
      </c>
      <c r="C397" s="1">
        <v>45207.967361111114</v>
      </c>
      <c r="D397" t="s">
        <v>20</v>
      </c>
    </row>
    <row r="398" spans="1:4">
      <c r="A398" t="s">
        <v>5</v>
      </c>
      <c r="B398" t="s">
        <v>24</v>
      </c>
      <c r="C398" s="1">
        <v>45207.863888888889</v>
      </c>
      <c r="D398" t="s">
        <v>20</v>
      </c>
    </row>
    <row r="399" spans="1:4">
      <c r="A399" t="s">
        <v>7</v>
      </c>
      <c r="B399" t="s">
        <v>25</v>
      </c>
      <c r="C399" s="1">
        <v>45207.828472222223</v>
      </c>
      <c r="D399" t="s">
        <v>22</v>
      </c>
    </row>
    <row r="400" spans="1:4">
      <c r="A400" t="s">
        <v>11</v>
      </c>
      <c r="B400" t="s">
        <v>25</v>
      </c>
      <c r="C400" s="1">
        <v>45207.6875</v>
      </c>
      <c r="D400" t="s">
        <v>20</v>
      </c>
    </row>
    <row r="401" spans="1:4">
      <c r="A401" t="s">
        <v>6</v>
      </c>
      <c r="B401" t="s">
        <v>24</v>
      </c>
      <c r="C401" s="1">
        <v>45207.496527777781</v>
      </c>
      <c r="D401" t="s">
        <v>22</v>
      </c>
    </row>
    <row r="402" spans="1:4">
      <c r="A402" t="s">
        <v>5</v>
      </c>
      <c r="B402" t="s">
        <v>25</v>
      </c>
      <c r="C402" s="1" t="s">
        <v>14</v>
      </c>
      <c r="D402" t="s">
        <v>20</v>
      </c>
    </row>
    <row r="403" spans="1:4">
      <c r="A403" t="s">
        <v>3</v>
      </c>
      <c r="B403" t="s">
        <v>24</v>
      </c>
      <c r="C403" s="1">
        <v>45207.196527777778</v>
      </c>
      <c r="D403" t="s">
        <v>20</v>
      </c>
    </row>
    <row r="404" spans="1:4">
      <c r="A404" t="s">
        <v>5</v>
      </c>
      <c r="B404" t="s">
        <v>25</v>
      </c>
      <c r="C404" s="1">
        <v>45206.886805555558</v>
      </c>
      <c r="D404" t="s">
        <v>22</v>
      </c>
    </row>
    <row r="405" spans="1:4">
      <c r="A405" t="s">
        <v>11</v>
      </c>
      <c r="B405" t="s">
        <v>25</v>
      </c>
      <c r="C405" s="1">
        <v>45206.742361111108</v>
      </c>
      <c r="D405" t="s">
        <v>21</v>
      </c>
    </row>
    <row r="406" spans="1:4">
      <c r="A406" t="s">
        <v>5</v>
      </c>
      <c r="B406" t="s">
        <v>25</v>
      </c>
      <c r="C406" s="1">
        <v>45206.695833333331</v>
      </c>
      <c r="D406" t="s">
        <v>20</v>
      </c>
    </row>
    <row r="407" spans="1:4">
      <c r="A407" t="s">
        <v>5</v>
      </c>
      <c r="B407" t="s">
        <v>24</v>
      </c>
      <c r="C407" s="1">
        <v>45206.677777777775</v>
      </c>
      <c r="D407" t="s">
        <v>22</v>
      </c>
    </row>
    <row r="408" spans="1:4">
      <c r="A408" t="s">
        <v>11</v>
      </c>
      <c r="B408" t="s">
        <v>24</v>
      </c>
      <c r="C408" s="1">
        <v>45206.663888888892</v>
      </c>
      <c r="D408" t="s">
        <v>22</v>
      </c>
    </row>
    <row r="409" spans="1:4">
      <c r="A409" t="s">
        <v>5</v>
      </c>
      <c r="B409" t="s">
        <v>24</v>
      </c>
      <c r="C409" s="1">
        <v>45205.927083333336</v>
      </c>
      <c r="D409" t="s">
        <v>20</v>
      </c>
    </row>
    <row r="410" spans="1:4">
      <c r="A410" t="s">
        <v>5</v>
      </c>
      <c r="B410" t="s">
        <v>24</v>
      </c>
      <c r="C410" s="1">
        <v>45205.927083333336</v>
      </c>
      <c r="D410" t="s">
        <v>20</v>
      </c>
    </row>
    <row r="411" spans="1:4">
      <c r="A411" t="s">
        <v>5</v>
      </c>
      <c r="B411" t="s">
        <v>24</v>
      </c>
      <c r="C411" s="1">
        <v>45205.916666666664</v>
      </c>
      <c r="D411" t="s">
        <v>20</v>
      </c>
    </row>
    <row r="412" spans="1:4">
      <c r="A412" t="s">
        <v>10</v>
      </c>
      <c r="B412" t="s">
        <v>24</v>
      </c>
      <c r="C412" s="1">
        <v>45205.865277777775</v>
      </c>
      <c r="D412" t="s">
        <v>22</v>
      </c>
    </row>
    <row r="413" spans="1:4">
      <c r="A413" t="s">
        <v>11</v>
      </c>
      <c r="B413" t="s">
        <v>25</v>
      </c>
      <c r="C413" s="1">
        <v>45205.864583333336</v>
      </c>
      <c r="D413" t="s">
        <v>22</v>
      </c>
    </row>
    <row r="414" spans="1:4">
      <c r="A414" t="s">
        <v>10</v>
      </c>
      <c r="B414" t="s">
        <v>24</v>
      </c>
      <c r="C414" s="1">
        <v>45205.827777777777</v>
      </c>
      <c r="D414" t="s">
        <v>20</v>
      </c>
    </row>
    <row r="415" spans="1:4">
      <c r="A415" t="s">
        <v>7</v>
      </c>
      <c r="B415" t="s">
        <v>24</v>
      </c>
      <c r="C415" s="1">
        <v>45205.818749999999</v>
      </c>
      <c r="D415" t="s">
        <v>21</v>
      </c>
    </row>
    <row r="416" spans="1:4">
      <c r="A416" t="s">
        <v>4</v>
      </c>
      <c r="B416" t="s">
        <v>24</v>
      </c>
      <c r="C416" s="1">
        <v>45205.754861111112</v>
      </c>
      <c r="D416" t="s">
        <v>21</v>
      </c>
    </row>
    <row r="417" spans="1:4">
      <c r="A417" t="s">
        <v>5</v>
      </c>
      <c r="B417" t="s">
        <v>24</v>
      </c>
      <c r="C417" s="1">
        <v>45205.75</v>
      </c>
      <c r="D417" t="s">
        <v>22</v>
      </c>
    </row>
    <row r="418" spans="1:4">
      <c r="A418" t="s">
        <v>5</v>
      </c>
      <c r="B418" t="s">
        <v>24</v>
      </c>
      <c r="C418" s="1">
        <v>45205.697222222225</v>
      </c>
      <c r="D418" t="s">
        <v>21</v>
      </c>
    </row>
    <row r="419" spans="1:4">
      <c r="A419" t="s">
        <v>1</v>
      </c>
      <c r="B419" t="s">
        <v>25</v>
      </c>
      <c r="C419" s="1">
        <v>45205.672222222223</v>
      </c>
      <c r="D419" t="s">
        <v>21</v>
      </c>
    </row>
    <row r="420" spans="1:4">
      <c r="A420" t="s">
        <v>6</v>
      </c>
      <c r="B420" t="s">
        <v>24</v>
      </c>
      <c r="C420" s="1">
        <v>45205.665277777778</v>
      </c>
      <c r="D420" t="s">
        <v>21</v>
      </c>
    </row>
    <row r="421" spans="1:4">
      <c r="A421" t="s">
        <v>5</v>
      </c>
      <c r="B421" t="s">
        <v>24</v>
      </c>
      <c r="C421" s="1">
        <v>45205.656944444447</v>
      </c>
      <c r="D421" t="s">
        <v>21</v>
      </c>
    </row>
    <row r="422" spans="1:4">
      <c r="A422" t="s">
        <v>5</v>
      </c>
      <c r="B422" t="s">
        <v>25</v>
      </c>
      <c r="C422" s="1">
        <v>45205.604861111111</v>
      </c>
      <c r="D422" t="s">
        <v>20</v>
      </c>
    </row>
    <row r="423" spans="1:4">
      <c r="A423" t="s">
        <v>3</v>
      </c>
      <c r="B423" t="s">
        <v>24</v>
      </c>
      <c r="C423" s="1">
        <v>45205.601388888892</v>
      </c>
      <c r="D423" t="s">
        <v>20</v>
      </c>
    </row>
    <row r="424" spans="1:4">
      <c r="A424" t="s">
        <v>5</v>
      </c>
      <c r="B424" t="s">
        <v>24</v>
      </c>
      <c r="C424" s="1">
        <v>45205.578472222223</v>
      </c>
      <c r="D424" t="s">
        <v>21</v>
      </c>
    </row>
    <row r="425" spans="1:4">
      <c r="A425" t="s">
        <v>12</v>
      </c>
      <c r="B425" t="s">
        <v>24</v>
      </c>
      <c r="C425" s="1">
        <v>45205.495833333334</v>
      </c>
      <c r="D425" t="s">
        <v>21</v>
      </c>
    </row>
    <row r="426" spans="1:4">
      <c r="A426" t="s">
        <v>11</v>
      </c>
      <c r="B426" t="s">
        <v>24</v>
      </c>
      <c r="C426" s="1">
        <v>45205.46597222222</v>
      </c>
      <c r="D426" t="s">
        <v>22</v>
      </c>
    </row>
    <row r="427" spans="1:4">
      <c r="A427" t="s">
        <v>5</v>
      </c>
      <c r="B427" t="s">
        <v>24</v>
      </c>
      <c r="C427" s="1">
        <v>45204.918055555558</v>
      </c>
      <c r="D427" t="s">
        <v>21</v>
      </c>
    </row>
    <row r="428" spans="1:4">
      <c r="A428" t="s">
        <v>9</v>
      </c>
      <c r="B428" t="s">
        <v>25</v>
      </c>
      <c r="C428" s="1">
        <v>45204.836111111108</v>
      </c>
      <c r="D428" t="s">
        <v>20</v>
      </c>
    </row>
    <row r="429" spans="1:4">
      <c r="A429" t="s">
        <v>9</v>
      </c>
      <c r="B429" t="s">
        <v>25</v>
      </c>
      <c r="C429" s="1">
        <v>45204.799305555556</v>
      </c>
      <c r="D429" t="s">
        <v>22</v>
      </c>
    </row>
    <row r="430" spans="1:4">
      <c r="A430" t="s">
        <v>7</v>
      </c>
      <c r="B430" t="s">
        <v>25</v>
      </c>
      <c r="C430" s="1">
        <v>45204.787499999999</v>
      </c>
      <c r="D430" t="s">
        <v>22</v>
      </c>
    </row>
    <row r="431" spans="1:4">
      <c r="A431" t="s">
        <v>5</v>
      </c>
      <c r="B431" t="s">
        <v>25</v>
      </c>
      <c r="C431" s="1">
        <v>45204.731944444444</v>
      </c>
      <c r="D431" t="s">
        <v>22</v>
      </c>
    </row>
    <row r="432" spans="1:4">
      <c r="A432" t="s">
        <v>5</v>
      </c>
      <c r="B432" t="s">
        <v>25</v>
      </c>
      <c r="C432" s="1">
        <v>45204.726388888892</v>
      </c>
      <c r="D432" t="s">
        <v>21</v>
      </c>
    </row>
    <row r="433" spans="1:4">
      <c r="A433" t="s">
        <v>5</v>
      </c>
      <c r="B433" t="s">
        <v>25</v>
      </c>
      <c r="C433" s="1">
        <v>45204.720833333333</v>
      </c>
      <c r="D433" t="s">
        <v>20</v>
      </c>
    </row>
    <row r="434" spans="1:4">
      <c r="A434" t="s">
        <v>3</v>
      </c>
      <c r="B434" t="s">
        <v>25</v>
      </c>
      <c r="C434" s="1">
        <v>45204.707638888889</v>
      </c>
      <c r="D434" t="s">
        <v>20</v>
      </c>
    </row>
    <row r="435" spans="1:4">
      <c r="A435" t="s">
        <v>10</v>
      </c>
      <c r="B435" t="s">
        <v>25</v>
      </c>
      <c r="C435" s="1">
        <v>45204.651388888888</v>
      </c>
      <c r="D435" t="s">
        <v>21</v>
      </c>
    </row>
    <row r="436" spans="1:4">
      <c r="A436" t="s">
        <v>5</v>
      </c>
      <c r="B436" t="s">
        <v>25</v>
      </c>
      <c r="C436" s="1">
        <v>45204.65</v>
      </c>
      <c r="D436" t="s">
        <v>21</v>
      </c>
    </row>
    <row r="437" spans="1:4">
      <c r="A437" t="s">
        <v>10</v>
      </c>
      <c r="B437" t="s">
        <v>25</v>
      </c>
      <c r="C437" s="1">
        <v>45204.647222222222</v>
      </c>
      <c r="D437" t="s">
        <v>21</v>
      </c>
    </row>
    <row r="438" spans="1:4">
      <c r="A438" t="s">
        <v>11</v>
      </c>
      <c r="B438" t="s">
        <v>25</v>
      </c>
      <c r="C438" s="1">
        <v>45204.63958333333</v>
      </c>
      <c r="D438" t="s">
        <v>21</v>
      </c>
    </row>
    <row r="439" spans="1:4">
      <c r="A439" t="s">
        <v>11</v>
      </c>
      <c r="B439" t="s">
        <v>25</v>
      </c>
      <c r="C439" s="1">
        <v>45204.625</v>
      </c>
      <c r="D439" t="s">
        <v>21</v>
      </c>
    </row>
    <row r="440" spans="1:4">
      <c r="A440" t="s">
        <v>5</v>
      </c>
      <c r="B440" t="s">
        <v>25</v>
      </c>
      <c r="C440" s="1">
        <v>45204.625</v>
      </c>
      <c r="D440" t="s">
        <v>22</v>
      </c>
    </row>
    <row r="441" spans="1:4">
      <c r="A441" t="s">
        <v>5</v>
      </c>
      <c r="B441" t="s">
        <v>25</v>
      </c>
      <c r="C441" s="1">
        <v>45204.618055555555</v>
      </c>
      <c r="D441" t="s">
        <v>21</v>
      </c>
    </row>
    <row r="442" spans="1:4">
      <c r="A442" t="s">
        <v>7</v>
      </c>
      <c r="B442" t="s">
        <v>24</v>
      </c>
      <c r="C442" s="1">
        <v>45204.612500000003</v>
      </c>
      <c r="D442" t="s">
        <v>21</v>
      </c>
    </row>
    <row r="443" spans="1:4">
      <c r="A443" t="s">
        <v>9</v>
      </c>
      <c r="B443" t="s">
        <v>25</v>
      </c>
      <c r="C443" s="1">
        <v>45204.611111111109</v>
      </c>
      <c r="D443" t="s">
        <v>21</v>
      </c>
    </row>
    <row r="444" spans="1:4">
      <c r="A444" t="s">
        <v>7</v>
      </c>
      <c r="B444" t="s">
        <v>24</v>
      </c>
      <c r="C444" s="1">
        <v>45204.575694444444</v>
      </c>
      <c r="D444" t="s">
        <v>21</v>
      </c>
    </row>
    <row r="445" spans="1:4">
      <c r="A445" t="s">
        <v>6</v>
      </c>
      <c r="B445" t="s">
        <v>25</v>
      </c>
      <c r="C445" s="1">
        <v>45204.572222222225</v>
      </c>
      <c r="D445" t="s">
        <v>21</v>
      </c>
    </row>
    <row r="446" spans="1:4">
      <c r="A446" t="s">
        <v>5</v>
      </c>
      <c r="B446" t="s">
        <v>24</v>
      </c>
      <c r="C446" s="1">
        <v>45204.520833333336</v>
      </c>
      <c r="D446" t="s">
        <v>21</v>
      </c>
    </row>
    <row r="447" spans="1:4">
      <c r="A447" t="s">
        <v>9</v>
      </c>
      <c r="B447" t="s">
        <v>24</v>
      </c>
      <c r="C447" s="1">
        <v>45204.509722222225</v>
      </c>
      <c r="D447" t="s">
        <v>21</v>
      </c>
    </row>
    <row r="448" spans="1:4">
      <c r="A448" t="s">
        <v>5</v>
      </c>
      <c r="B448" t="s">
        <v>24</v>
      </c>
      <c r="C448" s="1">
        <v>45204.508333333331</v>
      </c>
      <c r="D448" t="s">
        <v>21</v>
      </c>
    </row>
    <row r="449" spans="1:4">
      <c r="A449" t="s">
        <v>9</v>
      </c>
      <c r="B449" t="s">
        <v>24</v>
      </c>
      <c r="C449" s="1">
        <v>45204.499305555553</v>
      </c>
      <c r="D449" t="s">
        <v>21</v>
      </c>
    </row>
    <row r="450" spans="1:4">
      <c r="A450" t="s">
        <v>9</v>
      </c>
      <c r="B450" t="s">
        <v>24</v>
      </c>
      <c r="C450" s="1">
        <v>45204.497916666667</v>
      </c>
      <c r="D450" t="s">
        <v>21</v>
      </c>
    </row>
    <row r="451" spans="1:4">
      <c r="A451" t="s">
        <v>5</v>
      </c>
      <c r="B451" t="s">
        <v>24</v>
      </c>
      <c r="C451" s="1">
        <v>45204.470138888886</v>
      </c>
      <c r="D451" t="s">
        <v>20</v>
      </c>
    </row>
    <row r="452" spans="1:4">
      <c r="A452" t="s">
        <v>11</v>
      </c>
      <c r="B452" t="s">
        <v>25</v>
      </c>
      <c r="C452" s="1">
        <v>45204.438888888886</v>
      </c>
      <c r="D452" t="s">
        <v>21</v>
      </c>
    </row>
    <row r="453" spans="1:4">
      <c r="A453" t="s">
        <v>9</v>
      </c>
      <c r="B453" t="s">
        <v>25</v>
      </c>
      <c r="C453" s="1">
        <v>45204.436805555553</v>
      </c>
      <c r="D453" t="s">
        <v>21</v>
      </c>
    </row>
    <row r="454" spans="1:4">
      <c r="A454" t="s">
        <v>9</v>
      </c>
      <c r="B454" t="s">
        <v>25</v>
      </c>
      <c r="C454" s="1">
        <v>45204.115972222222</v>
      </c>
      <c r="D454" t="s">
        <v>21</v>
      </c>
    </row>
    <row r="455" spans="1:4">
      <c r="A455" t="s">
        <v>11</v>
      </c>
      <c r="B455" t="s">
        <v>25</v>
      </c>
      <c r="C455" s="1">
        <v>45204.079861111109</v>
      </c>
      <c r="D455" t="s">
        <v>20</v>
      </c>
    </row>
    <row r="456" spans="1:4">
      <c r="A456" t="s">
        <v>5</v>
      </c>
      <c r="B456" t="s">
        <v>24</v>
      </c>
      <c r="C456" s="1">
        <v>45204.06527777778</v>
      </c>
      <c r="D456" t="s">
        <v>21</v>
      </c>
    </row>
    <row r="457" spans="1:4">
      <c r="A457" t="s">
        <v>7</v>
      </c>
      <c r="B457" t="s">
        <v>24</v>
      </c>
      <c r="C457" s="1">
        <v>45204.038888888892</v>
      </c>
      <c r="D457" t="s">
        <v>21</v>
      </c>
    </row>
    <row r="458" spans="1:4">
      <c r="A458" t="s">
        <v>9</v>
      </c>
      <c r="B458" t="s">
        <v>25</v>
      </c>
      <c r="C458" s="1">
        <v>45204.036805555559</v>
      </c>
      <c r="D458" t="s">
        <v>20</v>
      </c>
    </row>
    <row r="459" spans="1:4">
      <c r="A459" t="s">
        <v>9</v>
      </c>
      <c r="B459" t="s">
        <v>25</v>
      </c>
      <c r="C459" s="1">
        <v>45204.022916666669</v>
      </c>
      <c r="D459" t="s">
        <v>21</v>
      </c>
    </row>
    <row r="460" spans="1:4">
      <c r="A460" t="s">
        <v>3</v>
      </c>
      <c r="B460" t="s">
        <v>25</v>
      </c>
      <c r="C460" s="1">
        <v>45204.011111111111</v>
      </c>
      <c r="D460" t="s">
        <v>20</v>
      </c>
    </row>
    <row r="461" spans="1:4">
      <c r="A461" t="s">
        <v>5</v>
      </c>
      <c r="B461" t="s">
        <v>25</v>
      </c>
      <c r="C461" s="1">
        <v>45203.993055555555</v>
      </c>
      <c r="D461" t="s">
        <v>20</v>
      </c>
    </row>
    <row r="462" spans="1:4">
      <c r="A462" t="s">
        <v>5</v>
      </c>
      <c r="B462" t="s">
        <v>25</v>
      </c>
      <c r="C462" s="1">
        <v>45203.923611111109</v>
      </c>
      <c r="D462" t="s">
        <v>20</v>
      </c>
    </row>
    <row r="463" spans="1:4">
      <c r="A463" t="s">
        <v>11</v>
      </c>
      <c r="B463" t="s">
        <v>25</v>
      </c>
      <c r="C463" s="1">
        <v>45203.919444444444</v>
      </c>
      <c r="D463" t="s">
        <v>22</v>
      </c>
    </row>
    <row r="464" spans="1:4">
      <c r="A464" t="s">
        <v>9</v>
      </c>
      <c r="B464" t="s">
        <v>24</v>
      </c>
      <c r="C464" s="1">
        <v>45203.907638888886</v>
      </c>
      <c r="D464" t="s">
        <v>22</v>
      </c>
    </row>
    <row r="465" spans="1:4">
      <c r="A465" t="s">
        <v>5</v>
      </c>
      <c r="B465" t="s">
        <v>24</v>
      </c>
      <c r="C465" s="1">
        <v>45203.88958333333</v>
      </c>
      <c r="D465" t="s">
        <v>20</v>
      </c>
    </row>
    <row r="466" spans="1:4">
      <c r="A466" t="s">
        <v>5</v>
      </c>
      <c r="B466" t="s">
        <v>24</v>
      </c>
      <c r="C466" s="1">
        <v>45203.856944444444</v>
      </c>
      <c r="D466" t="s">
        <v>21</v>
      </c>
    </row>
    <row r="467" spans="1:4">
      <c r="A467" t="s">
        <v>5</v>
      </c>
      <c r="B467" t="s">
        <v>25</v>
      </c>
      <c r="C467" s="1">
        <v>45203.842361111114</v>
      </c>
      <c r="D467" t="s">
        <v>22</v>
      </c>
    </row>
    <row r="468" spans="1:4">
      <c r="A468" t="s">
        <v>10</v>
      </c>
      <c r="B468" t="s">
        <v>24</v>
      </c>
      <c r="C468" s="1">
        <v>45203.818749999999</v>
      </c>
      <c r="D468" t="s">
        <v>21</v>
      </c>
    </row>
    <row r="469" spans="1:4">
      <c r="A469" t="s">
        <v>6</v>
      </c>
      <c r="B469" t="s">
        <v>24</v>
      </c>
      <c r="C469" s="1">
        <v>45203.777777777781</v>
      </c>
      <c r="D469" t="s">
        <v>20</v>
      </c>
    </row>
    <row r="470" spans="1:4">
      <c r="A470" t="s">
        <v>10</v>
      </c>
      <c r="B470" t="s">
        <v>25</v>
      </c>
      <c r="C470" s="1">
        <v>45203.752083333333</v>
      </c>
      <c r="D470" t="s">
        <v>21</v>
      </c>
    </row>
    <row r="471" spans="1:4">
      <c r="A471" t="s">
        <v>9</v>
      </c>
      <c r="B471" t="s">
        <v>24</v>
      </c>
      <c r="C471" s="1">
        <v>45203.751388888886</v>
      </c>
      <c r="D471" t="s">
        <v>21</v>
      </c>
    </row>
    <row r="472" spans="1:4">
      <c r="A472" t="s">
        <v>10</v>
      </c>
      <c r="B472" t="s">
        <v>25</v>
      </c>
      <c r="C472" s="1">
        <v>45203.736111111109</v>
      </c>
      <c r="D472" t="s">
        <v>21</v>
      </c>
    </row>
    <row r="473" spans="1:4">
      <c r="A473" t="s">
        <v>10</v>
      </c>
      <c r="B473" t="s">
        <v>24</v>
      </c>
      <c r="C473" s="1">
        <v>45203.693055555559</v>
      </c>
      <c r="D473" t="s">
        <v>21</v>
      </c>
    </row>
    <row r="474" spans="1:4">
      <c r="A474" t="s">
        <v>5</v>
      </c>
      <c r="B474" t="s">
        <v>24</v>
      </c>
      <c r="C474" s="1">
        <v>45203.628472222219</v>
      </c>
      <c r="D474" t="s">
        <v>21</v>
      </c>
    </row>
    <row r="475" spans="1:4">
      <c r="A475" t="s">
        <v>9</v>
      </c>
      <c r="B475" t="s">
        <v>24</v>
      </c>
      <c r="C475" s="1">
        <v>45203.626388888886</v>
      </c>
      <c r="D475" t="s">
        <v>21</v>
      </c>
    </row>
    <row r="476" spans="1:4">
      <c r="A476" t="s">
        <v>9</v>
      </c>
      <c r="B476" t="s">
        <v>24</v>
      </c>
      <c r="C476" s="1">
        <v>45203.626388888886</v>
      </c>
      <c r="D476" t="s">
        <v>21</v>
      </c>
    </row>
    <row r="477" spans="1:4">
      <c r="A477" t="s">
        <v>5</v>
      </c>
      <c r="B477" t="s">
        <v>25</v>
      </c>
      <c r="C477" s="1">
        <v>45203.581944444442</v>
      </c>
      <c r="D477" t="s">
        <v>21</v>
      </c>
    </row>
    <row r="478" spans="1:4">
      <c r="A478" t="s">
        <v>7</v>
      </c>
      <c r="B478" t="s">
        <v>25</v>
      </c>
      <c r="C478" s="1">
        <v>45203.551388888889</v>
      </c>
      <c r="D478" t="s">
        <v>22</v>
      </c>
    </row>
    <row r="479" spans="1:4">
      <c r="A479" t="s">
        <v>6</v>
      </c>
      <c r="B479" t="s">
        <v>24</v>
      </c>
      <c r="C479" s="1">
        <v>45203.50277777778</v>
      </c>
      <c r="D479" t="s">
        <v>22</v>
      </c>
    </row>
    <row r="480" spans="1:4">
      <c r="A480" t="s">
        <v>9</v>
      </c>
      <c r="B480" t="s">
        <v>24</v>
      </c>
      <c r="C480" s="1">
        <v>45203.484722222223</v>
      </c>
      <c r="D480" t="s">
        <v>21</v>
      </c>
    </row>
    <row r="481" spans="1:4">
      <c r="A481" t="s">
        <v>5</v>
      </c>
      <c r="B481" t="s">
        <v>25</v>
      </c>
      <c r="C481" s="1">
        <v>45203.479166666664</v>
      </c>
      <c r="D481" t="s">
        <v>21</v>
      </c>
    </row>
    <row r="482" spans="1:4">
      <c r="A482" t="s">
        <v>7</v>
      </c>
      <c r="B482" t="s">
        <v>25</v>
      </c>
      <c r="C482" s="1">
        <v>45203.455555555556</v>
      </c>
      <c r="D482" t="s">
        <v>22</v>
      </c>
    </row>
    <row r="483" spans="1:4">
      <c r="A483" t="s">
        <v>11</v>
      </c>
      <c r="B483" t="s">
        <v>24</v>
      </c>
      <c r="C483" s="1">
        <v>45203.455555555556</v>
      </c>
      <c r="D483" t="s">
        <v>21</v>
      </c>
    </row>
    <row r="484" spans="1:4">
      <c r="A484" t="s">
        <v>6</v>
      </c>
      <c r="B484" t="s">
        <v>24</v>
      </c>
      <c r="C484" s="1">
        <v>45203.319444444445</v>
      </c>
      <c r="D484" t="s">
        <v>21</v>
      </c>
    </row>
    <row r="485" spans="1:4">
      <c r="A485" t="s">
        <v>6</v>
      </c>
      <c r="B485" t="s">
        <v>24</v>
      </c>
      <c r="C485" s="1">
        <v>45203.238194444442</v>
      </c>
      <c r="D485" t="s">
        <v>22</v>
      </c>
    </row>
    <row r="486" spans="1:4">
      <c r="A486" t="s">
        <v>10</v>
      </c>
      <c r="B486" t="s">
        <v>24</v>
      </c>
      <c r="C486" s="1">
        <v>45203.081944444442</v>
      </c>
      <c r="D486" t="s">
        <v>22</v>
      </c>
    </row>
    <row r="487" spans="1:4">
      <c r="A487" t="s">
        <v>11</v>
      </c>
      <c r="B487" t="s">
        <v>24</v>
      </c>
      <c r="C487" s="1">
        <v>45203.049305555556</v>
      </c>
      <c r="D487" t="s">
        <v>20</v>
      </c>
    </row>
    <row r="488" spans="1:4">
      <c r="A488" t="s">
        <v>5</v>
      </c>
      <c r="B488" t="s">
        <v>24</v>
      </c>
      <c r="C488" s="1">
        <v>45203.043055555558</v>
      </c>
      <c r="D488" t="s">
        <v>22</v>
      </c>
    </row>
    <row r="489" spans="1:4">
      <c r="A489" t="s">
        <v>6</v>
      </c>
      <c r="B489" t="s">
        <v>24</v>
      </c>
      <c r="C489" s="1">
        <v>45203.021527777775</v>
      </c>
      <c r="D489" t="s">
        <v>22</v>
      </c>
    </row>
    <row r="490" spans="1:4">
      <c r="A490" t="s">
        <v>5</v>
      </c>
      <c r="B490" t="s">
        <v>25</v>
      </c>
      <c r="C490" s="1">
        <v>45202.978472222225</v>
      </c>
      <c r="D490" t="s">
        <v>22</v>
      </c>
    </row>
    <row r="491" spans="1:4">
      <c r="A491" t="s">
        <v>5</v>
      </c>
      <c r="B491" t="s">
        <v>25</v>
      </c>
      <c r="C491" s="1">
        <v>45202.87777777778</v>
      </c>
      <c r="D491" t="s">
        <v>21</v>
      </c>
    </row>
    <row r="492" spans="1:4">
      <c r="A492" t="s">
        <v>10</v>
      </c>
      <c r="B492" t="s">
        <v>25</v>
      </c>
      <c r="C492" s="1">
        <v>45202.84375</v>
      </c>
      <c r="D492" t="s">
        <v>21</v>
      </c>
    </row>
    <row r="493" spans="1:4">
      <c r="A493" t="s">
        <v>1</v>
      </c>
      <c r="B493" t="s">
        <v>25</v>
      </c>
      <c r="C493" s="1">
        <v>45202.790972222225</v>
      </c>
      <c r="D493" t="s">
        <v>21</v>
      </c>
    </row>
    <row r="494" spans="1:4">
      <c r="A494" t="s">
        <v>9</v>
      </c>
      <c r="B494" t="s">
        <v>25</v>
      </c>
      <c r="C494" s="1">
        <v>45202.789583333331</v>
      </c>
      <c r="D494" t="s">
        <v>21</v>
      </c>
    </row>
    <row r="495" spans="1:4">
      <c r="A495" t="s">
        <v>7</v>
      </c>
      <c r="B495" t="s">
        <v>24</v>
      </c>
      <c r="C495" s="1">
        <v>45202.770833333336</v>
      </c>
      <c r="D495" t="s">
        <v>22</v>
      </c>
    </row>
    <row r="496" spans="1:4">
      <c r="A496" t="s">
        <v>6</v>
      </c>
      <c r="B496" t="s">
        <v>24</v>
      </c>
      <c r="C496" s="1">
        <v>45202.739583333336</v>
      </c>
      <c r="D496" t="s">
        <v>22</v>
      </c>
    </row>
    <row r="497" spans="1:4">
      <c r="A497" t="s">
        <v>11</v>
      </c>
      <c r="B497" t="s">
        <v>24</v>
      </c>
      <c r="C497" s="1">
        <v>45202.732638888891</v>
      </c>
      <c r="D497" t="s">
        <v>21</v>
      </c>
    </row>
    <row r="498" spans="1:4">
      <c r="A498" t="s">
        <v>11</v>
      </c>
      <c r="B498" t="s">
        <v>25</v>
      </c>
      <c r="C498" s="1">
        <v>45202.705555555556</v>
      </c>
      <c r="D498" t="s">
        <v>22</v>
      </c>
    </row>
    <row r="499" spans="1:4">
      <c r="A499" t="s">
        <v>11</v>
      </c>
      <c r="B499" t="s">
        <v>24</v>
      </c>
      <c r="C499" s="1">
        <v>45202.703472222223</v>
      </c>
      <c r="D499" t="s">
        <v>21</v>
      </c>
    </row>
    <row r="500" spans="1:4">
      <c r="A500" t="s">
        <v>3</v>
      </c>
      <c r="B500" t="s">
        <v>25</v>
      </c>
      <c r="C500" s="1">
        <v>45202.65347222222</v>
      </c>
      <c r="D500" t="s">
        <v>20</v>
      </c>
    </row>
    <row r="501" spans="1:4">
      <c r="A501" t="s">
        <v>9</v>
      </c>
      <c r="B501" t="s">
        <v>25</v>
      </c>
      <c r="C501" s="1">
        <v>45202.651388888888</v>
      </c>
      <c r="D501" t="s">
        <v>21</v>
      </c>
    </row>
    <row r="502" spans="1:4">
      <c r="A502" t="s">
        <v>7</v>
      </c>
      <c r="B502" t="s">
        <v>25</v>
      </c>
      <c r="C502" s="1">
        <v>45202.636805555558</v>
      </c>
      <c r="D502" t="s">
        <v>22</v>
      </c>
    </row>
    <row r="503" spans="1:4">
      <c r="A503" t="s">
        <v>5</v>
      </c>
      <c r="B503" t="s">
        <v>25</v>
      </c>
      <c r="C503" s="1">
        <v>45202.611805555556</v>
      </c>
      <c r="D503" t="s">
        <v>21</v>
      </c>
    </row>
    <row r="504" spans="1:4">
      <c r="A504" t="s">
        <v>9</v>
      </c>
      <c r="B504" t="s">
        <v>24</v>
      </c>
      <c r="C504" s="1">
        <v>45202.591666666667</v>
      </c>
      <c r="D504" t="s">
        <v>21</v>
      </c>
    </row>
    <row r="505" spans="1:4">
      <c r="A505" t="s">
        <v>5</v>
      </c>
      <c r="B505" t="s">
        <v>25</v>
      </c>
      <c r="C505" s="1">
        <v>45202.586805555555</v>
      </c>
      <c r="D505" t="s">
        <v>21</v>
      </c>
    </row>
    <row r="506" spans="1:4">
      <c r="A506" t="s">
        <v>9</v>
      </c>
      <c r="B506" t="s">
        <v>25</v>
      </c>
      <c r="C506" s="1">
        <v>45202.584722222222</v>
      </c>
      <c r="D506" t="s">
        <v>21</v>
      </c>
    </row>
    <row r="507" spans="1:4">
      <c r="A507" t="s">
        <v>7</v>
      </c>
      <c r="B507" t="s">
        <v>24</v>
      </c>
      <c r="C507" s="1">
        <v>45202.578472222223</v>
      </c>
      <c r="D507" t="s">
        <v>21</v>
      </c>
    </row>
    <row r="508" spans="1:4">
      <c r="A508" t="s">
        <v>10</v>
      </c>
      <c r="B508" t="s">
        <v>25</v>
      </c>
      <c r="C508" s="1">
        <v>45202.574305555558</v>
      </c>
      <c r="D508" t="s">
        <v>20</v>
      </c>
    </row>
    <row r="509" spans="1:4">
      <c r="A509" t="s">
        <v>9</v>
      </c>
      <c r="B509" t="s">
        <v>25</v>
      </c>
      <c r="C509" s="1">
        <v>45202.563888888886</v>
      </c>
      <c r="D509" t="s">
        <v>21</v>
      </c>
    </row>
    <row r="510" spans="1:4">
      <c r="A510" t="s">
        <v>10</v>
      </c>
      <c r="B510" t="s">
        <v>24</v>
      </c>
      <c r="C510" s="1">
        <v>45202.543055555558</v>
      </c>
      <c r="D510" t="s">
        <v>21</v>
      </c>
    </row>
    <row r="511" spans="1:4">
      <c r="A511" t="s">
        <v>3</v>
      </c>
      <c r="B511" t="s">
        <v>25</v>
      </c>
      <c r="C511" s="1">
        <v>45202.540972222225</v>
      </c>
      <c r="D511" t="s">
        <v>20</v>
      </c>
    </row>
    <row r="512" spans="1:4">
      <c r="A512" t="s">
        <v>6</v>
      </c>
      <c r="B512" t="s">
        <v>24</v>
      </c>
      <c r="C512" s="1">
        <v>45202.52847222222</v>
      </c>
      <c r="D512" t="s">
        <v>21</v>
      </c>
    </row>
    <row r="513" spans="1:4">
      <c r="A513" t="s">
        <v>5</v>
      </c>
      <c r="B513" t="s">
        <v>24</v>
      </c>
      <c r="C513" s="1">
        <v>45202.513194444444</v>
      </c>
      <c r="D513" t="s">
        <v>20</v>
      </c>
    </row>
    <row r="514" spans="1:4">
      <c r="A514" t="s">
        <v>9</v>
      </c>
      <c r="B514" t="s">
        <v>25</v>
      </c>
      <c r="C514" s="1">
        <v>45202.496527777781</v>
      </c>
      <c r="D514" t="s">
        <v>21</v>
      </c>
    </row>
    <row r="515" spans="1:4">
      <c r="A515" t="s">
        <v>11</v>
      </c>
      <c r="B515" t="s">
        <v>24</v>
      </c>
      <c r="C515" s="1">
        <v>45202.480555555558</v>
      </c>
      <c r="D515" t="s">
        <v>21</v>
      </c>
    </row>
    <row r="516" spans="1:4">
      <c r="A516" t="s">
        <v>11</v>
      </c>
      <c r="B516" t="s">
        <v>24</v>
      </c>
      <c r="C516" s="1">
        <v>45202.479166666664</v>
      </c>
      <c r="D516" t="s">
        <v>22</v>
      </c>
    </row>
    <row r="517" spans="1:4">
      <c r="A517" t="s">
        <v>5</v>
      </c>
      <c r="B517" t="s">
        <v>24</v>
      </c>
      <c r="C517" s="1">
        <v>45202.472222222219</v>
      </c>
      <c r="D517" t="s">
        <v>20</v>
      </c>
    </row>
    <row r="518" spans="1:4">
      <c r="A518" t="s">
        <v>9</v>
      </c>
      <c r="B518" t="s">
        <v>24</v>
      </c>
      <c r="C518" s="1">
        <v>45202.468055555553</v>
      </c>
      <c r="D518" t="s">
        <v>22</v>
      </c>
    </row>
    <row r="519" spans="1:4">
      <c r="A519" t="s">
        <v>7</v>
      </c>
      <c r="B519" t="s">
        <v>24</v>
      </c>
      <c r="C519" s="1">
        <v>45202.466666666667</v>
      </c>
      <c r="D519" t="s">
        <v>22</v>
      </c>
    </row>
    <row r="520" spans="1:4">
      <c r="A520" t="s">
        <v>3</v>
      </c>
      <c r="B520" t="s">
        <v>24</v>
      </c>
      <c r="C520" s="1">
        <v>45202.362500000003</v>
      </c>
      <c r="D520" t="s">
        <v>20</v>
      </c>
    </row>
    <row r="521" spans="1:4">
      <c r="A521" t="s">
        <v>9</v>
      </c>
      <c r="B521" t="s">
        <v>25</v>
      </c>
      <c r="C521" s="1">
        <v>45202.333333333336</v>
      </c>
      <c r="D521" t="s">
        <v>21</v>
      </c>
    </row>
    <row r="522" spans="1:4">
      <c r="A522" t="s">
        <v>11</v>
      </c>
      <c r="B522" t="s">
        <v>25</v>
      </c>
      <c r="C522" s="1">
        <v>45202.15347222222</v>
      </c>
      <c r="D522" t="s">
        <v>21</v>
      </c>
    </row>
    <row r="523" spans="1:4">
      <c r="A523" t="s">
        <v>6</v>
      </c>
      <c r="B523" t="s">
        <v>24</v>
      </c>
      <c r="C523" s="1">
        <v>45202.111805555556</v>
      </c>
      <c r="D523" t="s">
        <v>22</v>
      </c>
    </row>
    <row r="524" spans="1:4">
      <c r="A524" t="s">
        <v>7</v>
      </c>
      <c r="B524" t="s">
        <v>25</v>
      </c>
      <c r="C524" s="1">
        <v>45202.061805555553</v>
      </c>
      <c r="D524" t="s">
        <v>22</v>
      </c>
    </row>
    <row r="525" spans="1:4">
      <c r="A525" t="s">
        <v>3</v>
      </c>
      <c r="B525" t="s">
        <v>24</v>
      </c>
      <c r="C525" s="1">
        <v>45202.031944444447</v>
      </c>
      <c r="D525" t="s">
        <v>20</v>
      </c>
    </row>
    <row r="526" spans="1:4">
      <c r="A526" t="s">
        <v>5</v>
      </c>
      <c r="B526" t="s">
        <v>24</v>
      </c>
      <c r="C526" s="1">
        <v>45201.996527777781</v>
      </c>
      <c r="D526" t="s">
        <v>20</v>
      </c>
    </row>
    <row r="527" spans="1:4">
      <c r="A527" t="s">
        <v>10</v>
      </c>
      <c r="B527" t="s">
        <v>24</v>
      </c>
      <c r="C527" s="1">
        <v>45201.902083333334</v>
      </c>
      <c r="D527" t="s">
        <v>20</v>
      </c>
    </row>
    <row r="528" spans="1:4">
      <c r="A528" t="s">
        <v>3</v>
      </c>
      <c r="B528" t="s">
        <v>25</v>
      </c>
      <c r="C528" s="1">
        <v>45201.802777777775</v>
      </c>
      <c r="D528" t="s">
        <v>20</v>
      </c>
    </row>
    <row r="529" spans="1:4">
      <c r="A529" t="s">
        <v>10</v>
      </c>
      <c r="B529" t="s">
        <v>25</v>
      </c>
      <c r="C529" s="1">
        <v>45201.777083333334</v>
      </c>
      <c r="D529" t="s">
        <v>20</v>
      </c>
    </row>
    <row r="530" spans="1:4">
      <c r="A530" t="s">
        <v>5</v>
      </c>
      <c r="B530" t="s">
        <v>25</v>
      </c>
      <c r="C530" s="1">
        <v>45201.770138888889</v>
      </c>
      <c r="D530" t="s">
        <v>21</v>
      </c>
    </row>
    <row r="531" spans="1:4">
      <c r="A531" t="s">
        <v>5</v>
      </c>
      <c r="B531" t="s">
        <v>24</v>
      </c>
      <c r="C531" s="1">
        <v>45201.761111111111</v>
      </c>
      <c r="D531" t="s">
        <v>20</v>
      </c>
    </row>
    <row r="532" spans="1:4">
      <c r="A532" t="s">
        <v>12</v>
      </c>
      <c r="B532" t="s">
        <v>24</v>
      </c>
      <c r="C532" s="1">
        <v>45201.758333333331</v>
      </c>
      <c r="D532" t="s">
        <v>21</v>
      </c>
    </row>
    <row r="533" spans="1:4">
      <c r="A533" t="s">
        <v>12</v>
      </c>
      <c r="B533" t="s">
        <v>24</v>
      </c>
      <c r="C533" s="1">
        <v>45201.75277777778</v>
      </c>
      <c r="D533" t="s">
        <v>21</v>
      </c>
    </row>
    <row r="534" spans="1:4">
      <c r="A534" t="s">
        <v>5</v>
      </c>
      <c r="B534" t="s">
        <v>25</v>
      </c>
      <c r="C534" s="1">
        <v>45201.748611111114</v>
      </c>
      <c r="D534" t="s">
        <v>20</v>
      </c>
    </row>
    <row r="535" spans="1:4">
      <c r="A535" t="s">
        <v>9</v>
      </c>
      <c r="B535" t="s">
        <v>24</v>
      </c>
      <c r="C535" s="1">
        <v>45201.73333333333</v>
      </c>
      <c r="D535" t="s">
        <v>21</v>
      </c>
    </row>
    <row r="536" spans="1:4">
      <c r="A536" t="s">
        <v>5</v>
      </c>
      <c r="B536" t="s">
        <v>25</v>
      </c>
      <c r="C536" s="1">
        <v>45201.726388888892</v>
      </c>
      <c r="D536" t="s">
        <v>22</v>
      </c>
    </row>
    <row r="537" spans="1:4">
      <c r="A537" t="s">
        <v>11</v>
      </c>
      <c r="B537" t="s">
        <v>24</v>
      </c>
      <c r="C537" s="1">
        <v>45201.71597222222</v>
      </c>
      <c r="D537" t="s">
        <v>21</v>
      </c>
    </row>
    <row r="538" spans="1:4">
      <c r="A538" t="s">
        <v>5</v>
      </c>
      <c r="B538" t="s">
        <v>25</v>
      </c>
      <c r="C538" s="1">
        <v>45201.709722222222</v>
      </c>
      <c r="D538" t="s">
        <v>21</v>
      </c>
    </row>
    <row r="539" spans="1:4">
      <c r="A539" t="s">
        <v>10</v>
      </c>
      <c r="B539" t="s">
        <v>25</v>
      </c>
      <c r="C539" s="1">
        <v>45201.690972222219</v>
      </c>
      <c r="D539" t="s">
        <v>21</v>
      </c>
    </row>
    <row r="540" spans="1:4">
      <c r="A540" t="s">
        <v>9</v>
      </c>
      <c r="B540" t="s">
        <v>25</v>
      </c>
      <c r="C540" s="1">
        <v>45201.631249999999</v>
      </c>
      <c r="D540" t="s">
        <v>21</v>
      </c>
    </row>
    <row r="541" spans="1:4">
      <c r="A541" t="s">
        <v>5</v>
      </c>
      <c r="B541" t="s">
        <v>24</v>
      </c>
      <c r="C541" s="1">
        <v>45201.619444444441</v>
      </c>
      <c r="D541" t="s">
        <v>21</v>
      </c>
    </row>
    <row r="542" spans="1:4">
      <c r="A542" t="s">
        <v>7</v>
      </c>
      <c r="B542" t="s">
        <v>25</v>
      </c>
      <c r="C542" s="1">
        <v>45201.601388888892</v>
      </c>
      <c r="D542" t="s">
        <v>22</v>
      </c>
    </row>
    <row r="543" spans="1:4">
      <c r="A543" t="s">
        <v>11</v>
      </c>
      <c r="B543" t="s">
        <v>24</v>
      </c>
      <c r="C543" s="1">
        <v>45201.525694444441</v>
      </c>
      <c r="D543" t="s">
        <v>20</v>
      </c>
    </row>
    <row r="544" spans="1:4">
      <c r="A544" t="s">
        <v>7</v>
      </c>
      <c r="B544" t="s">
        <v>24</v>
      </c>
      <c r="C544" s="1">
        <v>45201.482638888891</v>
      </c>
      <c r="D544" t="s">
        <v>20</v>
      </c>
    </row>
    <row r="545" spans="1:4">
      <c r="A545" t="s">
        <v>7</v>
      </c>
      <c r="B545" t="s">
        <v>24</v>
      </c>
      <c r="C545" s="1">
        <v>45201.477083333331</v>
      </c>
      <c r="D545" t="s">
        <v>20</v>
      </c>
    </row>
    <row r="546" spans="1:4">
      <c r="A546" t="s">
        <v>12</v>
      </c>
      <c r="B546" t="s">
        <v>24</v>
      </c>
      <c r="C546" s="1">
        <v>45201.395833333336</v>
      </c>
      <c r="D546" t="s">
        <v>21</v>
      </c>
    </row>
    <row r="547" spans="1:4">
      <c r="A547" t="s">
        <v>11</v>
      </c>
      <c r="B547" t="s">
        <v>24</v>
      </c>
      <c r="C547" s="1">
        <v>45201.213888888888</v>
      </c>
      <c r="D547" t="s">
        <v>21</v>
      </c>
    </row>
    <row r="548" spans="1:4">
      <c r="A548" t="s">
        <v>5</v>
      </c>
      <c r="B548" t="s">
        <v>24</v>
      </c>
      <c r="C548" s="1">
        <v>45201.148611111108</v>
      </c>
      <c r="D548" t="s">
        <v>20</v>
      </c>
    </row>
    <row r="549" spans="1:4">
      <c r="A549" t="s">
        <v>9</v>
      </c>
      <c r="B549" t="s">
        <v>25</v>
      </c>
      <c r="C549" s="1">
        <v>45200.720833333333</v>
      </c>
      <c r="D549" t="s">
        <v>21</v>
      </c>
    </row>
    <row r="550" spans="1:4">
      <c r="A550" t="s">
        <v>5</v>
      </c>
      <c r="B550" t="s">
        <v>25</v>
      </c>
      <c r="C550" s="1">
        <v>45200.678472222222</v>
      </c>
      <c r="D550" t="s">
        <v>22</v>
      </c>
    </row>
    <row r="551" spans="1:4">
      <c r="A551" t="s">
        <v>5</v>
      </c>
      <c r="B551" t="s">
        <v>25</v>
      </c>
      <c r="C551" s="1">
        <v>45200.640277777777</v>
      </c>
      <c r="D551" t="s">
        <v>22</v>
      </c>
    </row>
    <row r="552" spans="1:4">
      <c r="A552" t="s">
        <v>9</v>
      </c>
      <c r="B552" t="s">
        <v>25</v>
      </c>
      <c r="C552" s="1">
        <v>45200.586805555555</v>
      </c>
      <c r="D552" t="s">
        <v>21</v>
      </c>
    </row>
    <row r="553" spans="1:4">
      <c r="A553" t="s">
        <v>7</v>
      </c>
      <c r="B553" t="s">
        <v>25</v>
      </c>
      <c r="C553" s="1">
        <v>45200.53125</v>
      </c>
      <c r="D553" t="s">
        <v>22</v>
      </c>
    </row>
    <row r="554" spans="1:4">
      <c r="A554" t="s">
        <v>5</v>
      </c>
      <c r="B554" t="s">
        <v>25</v>
      </c>
      <c r="C554" s="1">
        <v>45200.529166666667</v>
      </c>
      <c r="D554" t="s">
        <v>22</v>
      </c>
    </row>
    <row r="555" spans="1:4">
      <c r="A555" t="s">
        <v>5</v>
      </c>
      <c r="B555" t="s">
        <v>25</v>
      </c>
      <c r="C555" s="1">
        <v>45200.456944444442</v>
      </c>
      <c r="D555" t="s">
        <v>20</v>
      </c>
    </row>
    <row r="556" spans="1:4">
      <c r="A556" t="s">
        <v>5</v>
      </c>
      <c r="B556" t="s">
        <v>25</v>
      </c>
      <c r="C556" s="1">
        <v>45200.056250000001</v>
      </c>
      <c r="D556" t="s">
        <v>22</v>
      </c>
    </row>
    <row r="557" spans="1:4">
      <c r="A557" t="s">
        <v>4</v>
      </c>
      <c r="B557" t="s">
        <v>25</v>
      </c>
      <c r="C557" s="1">
        <v>45199.96597222222</v>
      </c>
      <c r="D557" t="s">
        <v>21</v>
      </c>
    </row>
    <row r="558" spans="1:4">
      <c r="A558" t="s">
        <v>7</v>
      </c>
      <c r="B558" t="s">
        <v>25</v>
      </c>
      <c r="C558" s="1">
        <v>45196.716666666667</v>
      </c>
      <c r="D558" t="s">
        <v>21</v>
      </c>
    </row>
    <row r="559" spans="1:4">
      <c r="A559" t="s">
        <v>5</v>
      </c>
      <c r="B559" t="s">
        <v>25</v>
      </c>
      <c r="C559" s="1">
        <v>45195.629166666666</v>
      </c>
      <c r="D559" t="s">
        <v>20</v>
      </c>
    </row>
    <row r="560" spans="1:4">
      <c r="A560" t="s">
        <v>3</v>
      </c>
      <c r="B560" t="s">
        <v>25</v>
      </c>
      <c r="C560" s="1">
        <v>45195.515277777777</v>
      </c>
      <c r="D560" t="s">
        <v>20</v>
      </c>
    </row>
    <row r="561" spans="1:4">
      <c r="A561" t="s">
        <v>5</v>
      </c>
      <c r="B561" t="s">
        <v>25</v>
      </c>
      <c r="C561" s="1">
        <v>45190.622916666667</v>
      </c>
      <c r="D561" t="s">
        <v>20</v>
      </c>
    </row>
    <row r="562" spans="1:4">
      <c r="A562" t="s">
        <v>3</v>
      </c>
      <c r="B562" t="s">
        <v>25</v>
      </c>
      <c r="C562" s="1">
        <v>45188.920138888891</v>
      </c>
      <c r="D562" t="s">
        <v>20</v>
      </c>
    </row>
    <row r="563" spans="1:4">
      <c r="A563" t="s">
        <v>12</v>
      </c>
      <c r="B563" t="s">
        <v>25</v>
      </c>
      <c r="C563" s="1">
        <v>45187.647916666669</v>
      </c>
      <c r="D563" t="s">
        <v>21</v>
      </c>
    </row>
    <row r="564" spans="1:4">
      <c r="A564" t="s">
        <v>12</v>
      </c>
      <c r="B564" t="s">
        <v>24</v>
      </c>
      <c r="C564" s="1">
        <v>45187.59097222222</v>
      </c>
      <c r="D564" t="s">
        <v>21</v>
      </c>
    </row>
    <row r="565" spans="1:4">
      <c r="A565" t="s">
        <v>4</v>
      </c>
      <c r="B565" t="s">
        <v>25</v>
      </c>
      <c r="C565" s="1">
        <v>45184.863194444442</v>
      </c>
      <c r="D565" t="s">
        <v>21</v>
      </c>
    </row>
    <row r="566" spans="1:4">
      <c r="A566" t="s">
        <v>1</v>
      </c>
      <c r="B566" t="s">
        <v>25</v>
      </c>
      <c r="C566" s="1">
        <v>45183.027083333334</v>
      </c>
      <c r="D566" t="s">
        <v>21</v>
      </c>
    </row>
    <row r="567" spans="1:4">
      <c r="A567" t="s">
        <v>4</v>
      </c>
      <c r="B567" t="s">
        <v>24</v>
      </c>
      <c r="C567" s="1">
        <v>45097.709027777775</v>
      </c>
      <c r="D567" t="s">
        <v>22</v>
      </c>
    </row>
    <row r="568" spans="1:4">
      <c r="A568" t="s">
        <v>10</v>
      </c>
      <c r="B568" t="s">
        <v>24</v>
      </c>
      <c r="C568" s="1">
        <v>45084.655555555553</v>
      </c>
      <c r="D568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tabSelected="1" workbookViewId="0">
      <selection activeCell="AK1" sqref="AK1"/>
    </sheetView>
  </sheetViews>
  <sheetFormatPr defaultRowHeight="15.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ТЗ</vt:lpstr>
      <vt:lpstr>выгрузка</vt:lpstr>
      <vt:lpstr>Продукт</vt:lpstr>
      <vt:lpstr>Дашборд</vt:lpstr>
    </vt:vector>
  </TitlesOfParts>
  <Company>ПАО Сбербанк России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Бабкин Дмитрий Юрьевич - ЗСБ</dc:creator>
  <cp:lastModifiedBy>*</cp:lastModifiedBy>
  <dcterms:created xsi:type="dcterms:W3CDTF">2024-01-16T03:46:09Z</dcterms:created>
  <dcterms:modified xsi:type="dcterms:W3CDTF">2024-03-20T07:42:53Z</dcterms:modified>
</cp:coreProperties>
</file>